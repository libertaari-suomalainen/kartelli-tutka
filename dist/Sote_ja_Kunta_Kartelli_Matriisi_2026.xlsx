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Yhteenveto_Leikkuri" sheetId="1" r:id="rId1"/>
    <sheet name="02_Sidosyksikko_Kartellit" sheetId="2" r:id="rId2"/>
    <sheet name="03_Alueiden_Hintavertailu_P25" sheetId="3" r:id="rId3"/>
    <sheet name="04_MAO_Hilma_1Tarjous_Tapaukset" sheetId="4" r:id="rId4"/>
    <sheet name="05_Kaikki_43_Julkista_Ostajaa" sheetId="5" r:id="rId5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8" customWidth="1"/>
    <col min="2" max="2" width="26" customWidth="1"/>
    <col min="3" max="3" width="28" customWidth="1"/>
    <col min="4" max="4" width="26" customWidth="1"/>
  </cols>
  <sheetData>
    <row r="1">
      <c r="A1" t="inlineStr" s="1">
        <is>
          <t>SUOMEN TALOUSINSTITUUTTI (STI) — JULKISTEN HANKINTOJEN (38,7 MRD €/V) TEHOKKUUSANALYYSI 2026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</row>
    <row r="2">
      <c r="A2" t="inlineStr">
        <is>
          <t>Lähde: Tilastokeskus S.13, PRH YTJ, Tilinpäätökset 2024–2025, THL, KKV, Finlex MAO &amp; KHO 8.10.2025 (T2250)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 s="1">
        <is>
          <t>Rakenteellinen tehostamiskohde / Kategoria</t>
        </is>
      </c>
      <c r="B3" t="inlineStr" s="1">
        <is>
          <t>Tarkasteltu volyymi (M€/v)</t>
        </is>
      </c>
      <c r="C3" t="inlineStr" s="1">
        <is>
          <t>Pienomistus / Vertailukanta (M€/v)</t>
        </is>
      </c>
      <c r="D3" t="inlineStr" s="1">
        <is>
          <t>Laskennallinen säästöpotentiaali (M€/v)</t>
        </is>
      </c>
    </row>
    <row r="4">
      <c r="A4" t="inlineStr">
        <is>
          <t>1. Sidosyksiköt ja valtion TVT-keskus (15 yksikköä: Istekki, 2M-IT, Apotti, Fimlab, Sarastia, Monetra, Valtori ym.)</t>
        </is>
      </c>
      <c r="B4" s="2">
        <v>1963.4</v>
      </c>
      <c r="C4" s="2">
        <v>1254.7</v>
      </c>
      <c r="D4" s="2">
        <v>230.99</v>
      </c>
    </row>
    <row r="5">
      <c r="A5" t="inlineStr">
        <is>
          <t>2. Hyvinvointialueiden ja kuntien yksikkökustannusten P25-vertailu (5 CPV-kategoriaa, 31 aluevertailua, THL/HALI/KKV)</t>
        </is>
      </c>
      <c r="B5" s="2">
        <v>2538.23</v>
      </c>
      <c r="C5" s="2">
        <v>2538.23</v>
      </c>
      <c r="D5" s="2">
        <v>594.4</v>
      </c>
    </row>
    <row r="6">
      <c r="A6" t="inlineStr">
        <is>
          <t>3. Yhden tarjouksen kilpailutusten (KKV: n. 15–16 % hankinnoista) ja suorahankintojen avaaminen kilpailulle</t>
        </is>
      </c>
      <c r="B6" s="2">
        <v>5800.0</v>
      </c>
      <c r="C6" s="2">
        <v>1500.0</v>
      </c>
      <c r="D6" s="2">
        <v>225.0</v>
      </c>
    </row>
    <row r="7">
      <c r="A7" t="inlineStr">
        <is>
          <t>YHTEENSÄ (LASKENNALLINEN RAKENTEELLINEN SÄÄSTÖPOTENTIAALI, M€/V)</t>
        </is>
      </c>
      <c r="B7" s="2">
        <f>SUM(B4:B6)</f>
        <v>10301.63</v>
      </c>
      <c r="C7" s="2">
        <f>SUM(C4:C6)</f>
        <v>5292.93</v>
      </c>
      <c r="D7" s="2">
        <f>SUM(D4:D6)</f>
        <v>1050.39</v>
      </c>
    </row>
  </sheetData>
</worksheet>
</file>

<file path=xl/worksheets/sheet2.xml><?xml version="1.0" encoding="utf-8"?>
<worksheet xmlns="http://schemas.openxmlformats.org/spreadsheetml/2006/main">
  <cols>
    <col min="1" max="1" width="38" customWidth="1"/>
    <col min="2" max="2" width="12" customWidth="1"/>
    <col min="3" max="3" width="32" customWidth="1"/>
    <col min="4" max="4" width="15" customWidth="1"/>
    <col min="5" max="5" width="44" customWidth="1"/>
    <col min="6" max="6" width="16" customWidth="1"/>
    <col min="7" max="7" width="15" customWidth="1"/>
    <col min="8" max="8" width="18" customWidth="1"/>
    <col min="9" max="9" width="18" customWidth="1"/>
    <col min="10" max="10" width="26" customWidth="1"/>
  </cols>
  <sheetData>
    <row r="1">
      <c r="A1" t="inlineStr" s="1">
        <is>
          <t>SIDOSYKSIKÖT JA PALVELUKESKUKSET (HANKINTALAKI 15 §, MAO:154/2024 &amp; KHO 8.10.2025) — 15 YKSIKKÖÄ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  <c r="J1" t="inlineStr" s="1">
        <is>
          <t/>
        </is>
      </c>
    </row>
    <row r="2">
      <c r="A2" t="inlineStr">
        <is>
          <t>Huom: Tilinpäätösten (2024–2025) mukainen liikevaihto. Kaupalliset puitesopimustoimittajat toimivat laillisesti; tarkastelu koskee julkista omistusrakennetta.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 s="1">
        <is>
          <t>Omistaja- ja tilaajaryhmä (HVA / Kunnat / Valtio)</t>
        </is>
      </c>
      <c r="B3" t="inlineStr" s="1">
        <is>
          <t>Viiteomistus-%</t>
        </is>
      </c>
      <c r="C3" t="inlineStr" s="1">
        <is>
          <t>Sidosyksikkö / Palvelukeskus</t>
        </is>
      </c>
      <c r="D3" t="inlineStr" s="1">
        <is>
          <t>PRH Y-tunnus</t>
        </is>
      </c>
      <c r="E3" t="inlineStr" s="1">
        <is>
          <t>Keskeiset puitesopimus- ja toimittajakategoriat</t>
        </is>
      </c>
      <c r="F3" t="inlineStr" s="1">
        <is>
          <t>Liikevaihto (M€/v)</t>
        </is>
      </c>
      <c r="G3" t="inlineStr" s="1">
        <is>
          <t>Koordinointikate (%)</t>
        </is>
      </c>
      <c r="H3" t="inlineStr" s="1">
        <is>
          <t>Kilpailupotentiaali (%)</t>
        </is>
      </c>
      <c r="I3" t="inlineStr" s="1">
        <is>
          <t>Tehokkuuspotentiaali (M€/v)</t>
        </is>
      </c>
      <c r="J3" t="inlineStr" s="1">
        <is>
          <t>Kirjaamo (Oikaisu / Tietopyyntö)</t>
        </is>
      </c>
    </row>
    <row r="4">
      <c r="A4" t="inlineStr">
        <is>
          <t>HUS-yhtymä (44,7 %), Helsingin kaupunki (36,6 %) &amp; Vantaan ja Keravan HVA</t>
        </is>
      </c>
      <c r="B4" s="2">
        <v>18.7</v>
      </c>
      <c r="C4" t="inlineStr">
        <is>
          <t>Oy Apotti Ab</t>
        </is>
      </c>
      <c r="D4" t="inlineStr">
        <is>
          <t>2699989-5</t>
        </is>
      </c>
      <c r="E4" t="inlineStr">
        <is>
          <t>Epic Systems Corporation / järjestelmä- ja käyttöpalvelutoimittajat (lailliset sopimustoimittajat)</t>
        </is>
      </c>
      <c r="F4" s="2">
        <v>147.7</v>
      </c>
      <c r="G4" s="2">
        <v>6.0</v>
      </c>
      <c r="H4" s="2">
        <v>8.0</v>
      </c>
      <c r="I4" s="2">
        <f>ROUND(F4*(1-(1/((1+G4/100)*(1+H4/100)))),2)</f>
        <v>18.68</v>
      </c>
      <c r="J4" t="inlineStr">
        <is>
          <t>kirjaamo@hus.fi</t>
        </is>
      </c>
    </row>
    <row r="5">
      <c r="A5" t="inlineStr">
        <is>
          <t>Pirha, Pshyva (pääomistajat) sekä kymmenet pienomistajakunnat ja -HVA:t (&lt;10 %)</t>
        </is>
      </c>
      <c r="B5" s="2">
        <v>0.4</v>
      </c>
      <c r="C5" t="inlineStr">
        <is>
          <t>Istekki Oy</t>
        </is>
      </c>
      <c r="D5" t="inlineStr">
        <is>
          <t>2292633-0</t>
        </is>
      </c>
      <c r="E5" t="inlineStr">
        <is>
          <t>Kaupalliset ICT-laite-, lisenssi- ja asiantuntijapuitesopimustoimittajat (Tietoevry, CGI, Atea ym.)</t>
        </is>
      </c>
      <c r="F5" s="2">
        <v>264.6</v>
      </c>
      <c r="G5" s="2">
        <v>6.5</v>
      </c>
      <c r="H5" s="2">
        <v>7.5</v>
      </c>
      <c r="I5" s="2">
        <f>ROUND(F5*(1-(1/((1+G5/100)*(1+H5/100)))),2)</f>
        <v>33.48</v>
      </c>
      <c r="J5" t="inlineStr">
        <is>
          <t>kirjaamo@pirha.fi</t>
        </is>
      </c>
    </row>
    <row r="6">
      <c r="A6" t="inlineStr">
        <is>
          <t>15 hyvinvointialuetta ja sairaanhoitopiiritaustaista omistajaa (hajautettu omistus)</t>
        </is>
      </c>
      <c r="B6" s="2">
        <v>2.5</v>
      </c>
      <c r="C6" t="inlineStr">
        <is>
          <t>2M-IT Oy</t>
        </is>
      </c>
      <c r="D6" t="inlineStr">
        <is>
          <t>2859795-3</t>
        </is>
      </c>
      <c r="E6" t="inlineStr">
        <is>
          <t>Kaupalliset sote-ICT- ja ohjelmistotoimittajat (CGI, Tietoevry, Gofore ym.)</t>
        </is>
      </c>
      <c r="F6" s="2">
        <v>199.6</v>
      </c>
      <c r="G6" s="2">
        <v>6.0</v>
      </c>
      <c r="H6" s="2">
        <v>7.5</v>
      </c>
      <c r="I6" s="2">
        <f>ROUND(F6*(1-(1/((1+G6/100)*(1+H6/100)))),2)</f>
        <v>24.44</v>
      </c>
      <c r="J6" t="inlineStr">
        <is>
          <t>kirjaamo@varha.fi</t>
        </is>
      </c>
    </row>
    <row r="7">
      <c r="A7" t="inlineStr">
        <is>
          <t>Hyvinvointialueet ja yli 200 kuntaa (esim. Vake 0,04 % MAO:154/2024)</t>
        </is>
      </c>
      <c r="B7" s="2">
        <v>0.04</v>
      </c>
      <c r="C7" t="inlineStr">
        <is>
          <t>Numera Palvelut Oy (ent. Sarastia Oy)</t>
        </is>
      </c>
      <c r="D7" t="inlineStr">
        <is>
          <t>2360731-5</t>
        </is>
      </c>
      <c r="E7" t="inlineStr">
        <is>
          <t>Talous- ja palkkahallinnon järjestelmä- ja palvelutoimittajat</t>
        </is>
      </c>
      <c r="F7" s="2">
        <v>115.6</v>
      </c>
      <c r="G7" s="2">
        <v>7.0</v>
      </c>
      <c r="H7" s="2">
        <v>8.0</v>
      </c>
      <c r="I7" s="2">
        <f>ROUND(F7*(1-(1/((1+G7/100)*(1+H7/100)))),2)</f>
        <v>15.57</v>
      </c>
      <c r="J7" t="inlineStr">
        <is>
          <t>kirjaamo@vakehyva.fi</t>
        </is>
      </c>
    </row>
    <row r="8">
      <c r="A8" t="inlineStr">
        <is>
          <t>Oulu, Tampere, Jyväskylä, Kuopio, HVA:t sekä pienomistajakunnat</t>
        </is>
      </c>
      <c r="B8" s="2">
        <v>1.2</v>
      </c>
      <c r="C8" t="inlineStr">
        <is>
          <t>Monetra Oy (Monetra-konserni)</t>
        </is>
      </c>
      <c r="D8" t="inlineStr">
        <is>
          <t>2930159-5</t>
        </is>
      </c>
      <c r="E8" t="inlineStr">
        <is>
          <t>Talous- ja HR-ohjelmistojen kaupalliset puitesopimustoimittajat (CGI, Visma ym.)</t>
        </is>
      </c>
      <c r="F8" s="2">
        <v>114.7</v>
      </c>
      <c r="G8" s="2">
        <v>6.0</v>
      </c>
      <c r="H8" s="2">
        <v>7.0</v>
      </c>
      <c r="I8" s="2">
        <f>ROUND(F8*(1-(1/((1+G8/100)*(1+H8/100)))),2)</f>
        <v>13.57</v>
      </c>
      <c r="J8" t="inlineStr">
        <is>
          <t>kirjaamo@pohde.fi</t>
        </is>
      </c>
    </row>
    <row r="9">
      <c r="A9" t="inlineStr">
        <is>
          <t>Yli 300 kuntaa, kuntayhtymää ja hyvinvointialuetta</t>
        </is>
      </c>
      <c r="B9" s="2">
        <v>0.04</v>
      </c>
      <c r="C9" t="inlineStr">
        <is>
          <t>Tiera Oy (Kuntien Tiera)</t>
        </is>
      </c>
      <c r="D9" t="inlineStr">
        <is>
          <t>2362180-3</t>
        </is>
      </c>
      <c r="E9" t="inlineStr">
        <is>
          <t>Kaupalliset ICT-ohjelmisto- ja laitepuitesopimustoimittajat</t>
        </is>
      </c>
      <c r="F9" s="2">
        <v>76.0</v>
      </c>
      <c r="G9" s="2">
        <v>7.0</v>
      </c>
      <c r="H9" s="2">
        <v>8.0</v>
      </c>
      <c r="I9" s="2">
        <f>ROUND(F9*(1-(1/((1+G9/100)*(1+H9/100)))),2)</f>
        <v>10.23</v>
      </c>
      <c r="J9" t="inlineStr">
        <is>
          <t>kirjaamo@espoo.fi</t>
        </is>
      </c>
    </row>
    <row r="10">
      <c r="A10" t="inlineStr">
        <is>
          <t>Valtion virastot ja laitokset (lakisääteinen käyttövelvoite, Laki 1226/2013)</t>
        </is>
      </c>
      <c r="B10" s="2">
        <v>100.0</v>
      </c>
      <c r="C10" t="inlineStr">
        <is>
          <t>Valtori (Valtion TVT-keskus)</t>
        </is>
      </c>
      <c r="D10" t="inlineStr">
        <is>
          <t>2574261-7</t>
        </is>
      </c>
      <c r="E10" t="inlineStr">
        <is>
          <t>Kaupalliset ICT- ja tietoliikennetoimittajat (kilpailutetut puitesopimukset)</t>
        </is>
      </c>
      <c r="F10" s="2">
        <v>465.0</v>
      </c>
      <c r="G10" s="2">
        <v>5.5</v>
      </c>
      <c r="H10" s="2">
        <v>6.5</v>
      </c>
      <c r="I10" s="2">
        <f>ROUND(F10*(1-(1/((1+G10/100)*(1+H10/100)))),2)</f>
        <v>51.14</v>
      </c>
      <c r="J10" t="inlineStr">
        <is>
          <t>kirjaamo@valtori.fi</t>
        </is>
      </c>
    </row>
    <row r="11">
      <c r="A11" t="inlineStr">
        <is>
          <t>Pirha (pääomistaja), Kanta-Häme, Keski-Suomi, Päijät-Häme &amp; Pohjanmaa</t>
        </is>
      </c>
      <c r="B11" s="2">
        <v>2.5</v>
      </c>
      <c r="C11" t="inlineStr">
        <is>
          <t>Fimlab Laboratoriot Oy</t>
        </is>
      </c>
      <c r="D11" t="inlineStr">
        <is>
          <t>2392519-6</t>
        </is>
      </c>
      <c r="E11" t="inlineStr">
        <is>
          <t>Kansainväliset diagnostiikka-, analysaattori- ja reagenssitoimittajat</t>
        </is>
      </c>
      <c r="F11" s="2">
        <v>173.5</v>
      </c>
      <c r="G11" s="2">
        <v>5.5</v>
      </c>
      <c r="H11" s="2">
        <v>6.5</v>
      </c>
      <c r="I11" s="2">
        <f>ROUND(F11*(1-(1/((1+G11/100)*(1+H11/100)))),2)</f>
        <v>19.08</v>
      </c>
      <c r="J11" t="inlineStr">
        <is>
          <t>kirjaamo@pirha.fi</t>
        </is>
      </c>
    </row>
    <row r="12">
      <c r="A12" t="inlineStr">
        <is>
          <t>Pirha, Tampereen kaupunki (pääomistajat) &amp; Pirkanmaan kehyskunnat</t>
        </is>
      </c>
      <c r="B12" s="2">
        <v>0.6</v>
      </c>
      <c r="C12" t="inlineStr">
        <is>
          <t>Tuomi Logistiikka Oy</t>
        </is>
      </c>
      <c r="D12" t="inlineStr">
        <is>
          <t>2722581-6</t>
        </is>
      </c>
      <c r="E12" t="inlineStr">
        <is>
          <t>Kuljetuspalvelu- ja hoitotarvikesopimustoimittajat</t>
        </is>
      </c>
      <c r="F12" s="2">
        <v>112.0</v>
      </c>
      <c r="G12" s="2">
        <v>5.5</v>
      </c>
      <c r="H12" s="2">
        <v>6.5</v>
      </c>
      <c r="I12" s="2">
        <f>ROUND(F12*(1-(1/((1+G12/100)*(1+H12/100)))),2)</f>
        <v>12.32</v>
      </c>
      <c r="J12" t="inlineStr">
        <is>
          <t>kirjaamo@tampere.fi</t>
        </is>
      </c>
    </row>
    <row r="13">
      <c r="A13" t="inlineStr">
        <is>
          <t>Ekhva, Kymenhva, Eloisa &amp; Kaakkois-Suomen kunnat</t>
        </is>
      </c>
      <c r="B13" s="2">
        <v>0.9</v>
      </c>
      <c r="C13" t="inlineStr">
        <is>
          <t>Meita Oy (Meidän IT ja talous Oy)</t>
        </is>
      </c>
      <c r="D13" t="inlineStr">
        <is>
          <t>2945110-4</t>
        </is>
      </c>
      <c r="E13" t="inlineStr">
        <is>
          <t>Talous- ja ICT-järjestelmien kaupalliset sopimustoimittajat</t>
        </is>
      </c>
      <c r="F13" s="2">
        <v>58.5</v>
      </c>
      <c r="G13" s="2">
        <v>6.0</v>
      </c>
      <c r="H13" s="2">
        <v>7.0</v>
      </c>
      <c r="I13" s="2">
        <f>ROUND(F13*(1-(1/((1+G13/100)*(1+H13/100)))),2)</f>
        <v>6.92</v>
      </c>
      <c r="J13" t="inlineStr">
        <is>
          <t>kirjaamo@ekhva.fi</t>
        </is>
      </c>
    </row>
    <row r="14">
      <c r="A14" t="inlineStr">
        <is>
          <t>Varha, Turun kaupunki (pääomistajat) &amp; Varsinais-Suomen kunnat</t>
        </is>
      </c>
      <c r="B14" s="2">
        <v>1.1</v>
      </c>
      <c r="C14" t="inlineStr">
        <is>
          <t>Kaarea Oy</t>
        </is>
      </c>
      <c r="D14" t="inlineStr">
        <is>
          <t>2925981-7</t>
        </is>
      </c>
      <c r="E14" t="inlineStr">
        <is>
          <t>Elintarvike-, puhtaus- ja kiinteistöpalveluiden sopimustoimittajat</t>
        </is>
      </c>
      <c r="F14" s="2">
        <v>68.2</v>
      </c>
      <c r="G14" s="2">
        <v>5.5</v>
      </c>
      <c r="H14" s="2">
        <v>6.5</v>
      </c>
      <c r="I14" s="2">
        <f>ROUND(F14*(1-(1/((1+G14/100)*(1+H14/100)))),2)</f>
        <v>7.5</v>
      </c>
      <c r="J14" t="inlineStr">
        <is>
          <t>kirjaamo@turku.fi</t>
        </is>
      </c>
    </row>
    <row r="15">
      <c r="A15" t="inlineStr">
        <is>
          <t>Siun sote (Pohjois-Karjalan HVA), Joensuu &amp; alueen kunnat</t>
        </is>
      </c>
      <c r="B15" s="2">
        <v>1.5</v>
      </c>
      <c r="C15" t="inlineStr">
        <is>
          <t>Polkka - Pohjois-Karjalan tukipalvelut oy</t>
        </is>
      </c>
      <c r="D15" t="inlineStr">
        <is>
          <t>2775939-1</t>
        </is>
      </c>
      <c r="E15" t="inlineStr">
        <is>
          <t>Elintarvike- ja tukipalvelutoimittajat</t>
        </is>
      </c>
      <c r="F15" s="2">
        <v>39.4</v>
      </c>
      <c r="G15" s="2">
        <v>5.5</v>
      </c>
      <c r="H15" s="2">
        <v>6.5</v>
      </c>
      <c r="I15" s="2">
        <f>ROUND(F15*(1-(1/((1+G15/100)*(1+H15/100)))),2)</f>
        <v>4.33</v>
      </c>
      <c r="J15" t="inlineStr">
        <is>
          <t>kirjaamo@siunsote.fi</t>
        </is>
      </c>
    </row>
    <row r="16">
      <c r="A16" t="inlineStr">
        <is>
          <t>Pohjois-Savon HVA, Pohjois-Karjalan HVA &amp; Etelä-Savon HVA</t>
        </is>
      </c>
      <c r="B16" s="2">
        <v>33.3</v>
      </c>
      <c r="C16" t="inlineStr">
        <is>
          <t>ISLAB hyvinvointiyhtymä</t>
        </is>
      </c>
      <c r="D16" t="inlineStr">
        <is>
          <t>2126106-6</t>
        </is>
      </c>
      <c r="E16" t="inlineStr">
        <is>
          <t>Diagnostiikka- ja laboratoriolaitetoimittajat</t>
        </is>
      </c>
      <c r="F16" s="2">
        <v>96.0</v>
      </c>
      <c r="G16" s="2">
        <v>5.0</v>
      </c>
      <c r="H16" s="2">
        <v>6.0</v>
      </c>
      <c r="I16" s="2">
        <f>ROUND(F16*(1-(1/((1+G16/100)*(1+H16/100)))),2)</f>
        <v>9.75</v>
      </c>
      <c r="J16" t="inlineStr">
        <is>
          <t>kirjaamo@pshyva.fi</t>
        </is>
      </c>
    </row>
    <row r="17">
      <c r="A17" t="inlineStr">
        <is>
          <t>Kuopio, Pshyva &amp; yli 100 julkisyhteisöosakasta</t>
        </is>
      </c>
      <c r="B17" s="2">
        <v>0.3</v>
      </c>
      <c r="C17" t="inlineStr">
        <is>
          <t>Sansia Oy</t>
        </is>
      </c>
      <c r="D17" t="inlineStr">
        <is>
          <t>2364760-8</t>
        </is>
      </c>
      <c r="E17" t="inlineStr">
        <is>
          <t>Yhteishankintojen puitesopimustoimittajat</t>
        </is>
      </c>
      <c r="F17" s="2">
        <v>18.4</v>
      </c>
      <c r="G17" s="2">
        <v>6.0</v>
      </c>
      <c r="H17" s="2">
        <v>7.0</v>
      </c>
      <c r="I17" s="2">
        <f>ROUND(F17*(1-(1/((1+G17/100)*(1+H17/100)))),2)</f>
        <v>2.18</v>
      </c>
      <c r="J17" t="inlineStr">
        <is>
          <t>kirjaamo@kuopio.fi</t>
        </is>
      </c>
    </row>
    <row r="18">
      <c r="A18" t="inlineStr">
        <is>
          <t>Hyvinvointialueet ja kunnat (henkilökohtaisen avun palkanlaskenta)</t>
        </is>
      </c>
      <c r="B18" s="2">
        <v>0.1</v>
      </c>
      <c r="C18" t="inlineStr">
        <is>
          <t>Kuntien Hetapalvelut Oy</t>
        </is>
      </c>
      <c r="D18" t="inlineStr">
        <is>
          <t>2642777-4</t>
        </is>
      </c>
      <c r="E18" t="inlineStr">
        <is>
          <t>Numera Palvelut Oy -konserni / palkkahallinnon järjestelmät</t>
        </is>
      </c>
      <c r="F18" s="2">
        <v>14.2</v>
      </c>
      <c r="G18" s="2">
        <v>6.5</v>
      </c>
      <c r="H18" s="2">
        <v>7.5</v>
      </c>
      <c r="I18" s="2">
        <f>ROUND(F18*(1-(1/((1+G18/100)*(1+H18/100)))),2)</f>
        <v>1.8</v>
      </c>
      <c r="J18" t="inlineStr">
        <is>
          <t>kirjaamo@vakehyva.fi</t>
        </is>
      </c>
    </row>
    <row r="19">
      <c r="A19" t="inlineStr">
        <is>
          <t>YHTEENSÄ (15 SIDOSYKSIKKÖJÄTTIÄ)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2">
        <f>SUM(F4:F18)</f>
        <v>1963.4</v>
      </c>
      <c r="G19" t="inlineStr">
        <is>
          <t/>
        </is>
      </c>
      <c r="H19" t="inlineStr">
        <is>
          <t/>
        </is>
      </c>
      <c r="I19" s="2">
        <f>SUM(I4:I18)</f>
        <v>230.99</v>
      </c>
      <c r="J19" t="inlineStr">
        <is>
          <t/>
        </is>
      </c>
    </row>
  </sheetData>
</worksheet>
</file>

<file path=xl/worksheets/sheet3.xml><?xml version="1.0" encoding="utf-8"?>
<worksheet xmlns="http://schemas.openxmlformats.org/spreadsheetml/2006/main">
  <cols>
    <col min="1" max="1" width="32" customWidth="1"/>
    <col min="2" max="2" width="26" customWidth="1"/>
    <col min="3" max="3" width="15" customWidth="1"/>
    <col min="4" max="4" width="16" customWidth="1"/>
    <col min="5" max="5" width="22" customWidth="1"/>
    <col min="6" max="6" width="24" customWidth="1"/>
    <col min="7" max="7" width="18" customWidth="1"/>
    <col min="8" max="8" width="22" customWidth="1"/>
    <col min="9" max="9" width="24" customWidth="1"/>
  </cols>
  <sheetData>
    <row r="1">
      <c r="A1" t="inlineStr" s="1">
        <is>
          <t>HYVINVOINTIALUEIDEN JA KUNTIEN YKSIKKÖHINTOJEN VERTAILU (P25-ARBITRAASI)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</row>
    <row r="2">
      <c r="A2" t="inlineStr">
        <is>
          <t>Säästö lasketaan puristamalla yli P25-tason maksavien alueiden yksikköhinnat kansalliseen 25. persentiilin (P25) vertailuhintaan.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 s="1">
        <is>
          <t>Julkinen ostaja (HVA / Kunta)</t>
        </is>
      </c>
      <c r="B3" t="inlineStr" s="1">
        <is>
          <t>CPV-kategoria</t>
        </is>
      </c>
      <c r="C3" t="inlineStr" s="1">
        <is>
          <t>Yksikkö</t>
        </is>
      </c>
      <c r="D3" t="inlineStr" s="1">
        <is>
          <t>Volyymi / vuosi</t>
        </is>
      </c>
      <c r="E3" t="inlineStr" s="1">
        <is>
          <t>Maksettu yksikköhinta (€)</t>
        </is>
      </c>
      <c r="F3" t="inlineStr" s="1">
        <is>
          <t>Kansallinen P25-vertailuhinta (€)</t>
        </is>
      </c>
      <c r="G3" t="inlineStr" s="1">
        <is>
          <t>Ylihinta vs. P25 (%)</t>
        </is>
      </c>
      <c r="H3" t="inlineStr" s="1">
        <is>
          <t>Nykykustannus (€/v)</t>
        </is>
      </c>
      <c r="I3" t="inlineStr" s="1">
        <is>
          <t>P25-Säästöpotentiaali (€/v)</t>
        </is>
      </c>
    </row>
    <row r="4">
      <c r="A4" t="inlineStr">
        <is>
          <t>Pirha (Pirkanmaa — viitetaso)</t>
        </is>
      </c>
      <c r="B4" t="inlineStr">
        <is>
          <t>85121000-LocumMD</t>
        </is>
      </c>
      <c r="C4" t="inlineStr">
        <is>
          <t>hour</t>
        </is>
      </c>
      <c r="D4" s="2">
        <v>110000.0</v>
      </c>
      <c r="E4" s="2">
        <v>115.0</v>
      </c>
      <c r="F4" s="2">
        <v>128.0</v>
      </c>
      <c r="G4" s="2">
        <v>0.0</v>
      </c>
      <c r="H4" s="2">
        <f>ROUND(D4*E4,2)</f>
        <v>12650000.0</v>
      </c>
      <c r="I4" s="2">
        <f>ROUND(IF(E4&gt;F4,D4*(E4-F4),0),2)</f>
        <v>0.0</v>
      </c>
    </row>
    <row r="5">
      <c r="A5" t="inlineStr">
        <is>
          <t>Pohde (Pohjois-Pohjanmaa — viitetaso)</t>
        </is>
      </c>
      <c r="B5" t="inlineStr">
        <is>
          <t>85121000-LocumMD</t>
        </is>
      </c>
      <c r="C5" t="inlineStr">
        <is>
          <t>hour</t>
        </is>
      </c>
      <c r="D5" s="2">
        <v>95000.0</v>
      </c>
      <c r="E5" s="2">
        <v>122.0</v>
      </c>
      <c r="F5" s="2">
        <v>128.0</v>
      </c>
      <c r="G5" s="2">
        <v>0.0</v>
      </c>
      <c r="H5" s="2">
        <f>ROUND(D5*E5,2)</f>
        <v>11590000.0</v>
      </c>
      <c r="I5" s="2">
        <f>ROUND(IF(E5&gt;F5,D5*(E5-F5),0),2)</f>
        <v>0.0</v>
      </c>
    </row>
    <row r="6">
      <c r="A6" t="inlineStr">
        <is>
          <t>Varha (Varsinais-Suomi — viitetaso)</t>
        </is>
      </c>
      <c r="B6" t="inlineStr">
        <is>
          <t>85121000-LocumMD</t>
        </is>
      </c>
      <c r="C6" t="inlineStr">
        <is>
          <t>hour</t>
        </is>
      </c>
      <c r="D6" s="2">
        <v>90000.0</v>
      </c>
      <c r="E6" s="2">
        <v>128.0</v>
      </c>
      <c r="F6" s="2">
        <v>128.0</v>
      </c>
      <c r="G6" s="2">
        <v>0.0</v>
      </c>
      <c r="H6" s="2">
        <f>ROUND(D6*E6,2)</f>
        <v>11520000.0</v>
      </c>
      <c r="I6" s="2">
        <f>ROUND(IF(E6&gt;F6,D6*(E6-F6),0),2)</f>
        <v>0.0</v>
      </c>
    </row>
    <row r="7">
      <c r="A7" t="inlineStr">
        <is>
          <t>Keusote (Keski-Uusimaa — vertailu)</t>
        </is>
      </c>
      <c r="B7" t="inlineStr">
        <is>
          <t>85121000-LocumMD</t>
        </is>
      </c>
      <c r="C7" t="inlineStr">
        <is>
          <t>hour</t>
        </is>
      </c>
      <c r="D7" s="2">
        <v>65000.0</v>
      </c>
      <c r="E7" s="2">
        <v>148.0</v>
      </c>
      <c r="F7" s="2">
        <v>128.0</v>
      </c>
      <c r="G7" s="2">
        <v>15.6</v>
      </c>
      <c r="H7" s="2">
        <f>ROUND(D7*E7,2)</f>
        <v>9620000.0</v>
      </c>
      <c r="I7" s="2">
        <f>ROUND(IF(E7&gt;F7,D7*(E7-F7),0),2)</f>
        <v>1300000.0</v>
      </c>
    </row>
    <row r="8">
      <c r="A8" t="inlineStr">
        <is>
          <t>Vake (Vantaa-Kerava — vertailu)</t>
        </is>
      </c>
      <c r="B8" t="inlineStr">
        <is>
          <t>85121000-LocumMD</t>
        </is>
      </c>
      <c r="C8" t="inlineStr">
        <is>
          <t>hour</t>
        </is>
      </c>
      <c r="D8" s="2">
        <v>75000.0</v>
      </c>
      <c r="E8" s="2">
        <v>172.0</v>
      </c>
      <c r="F8" s="2">
        <v>128.0</v>
      </c>
      <c r="G8" s="2">
        <v>34.4</v>
      </c>
      <c r="H8" s="2">
        <f>ROUND(D8*E8,2)</f>
        <v>12900000.0</v>
      </c>
      <c r="I8" s="2">
        <f>ROUND(IF(E8&gt;F8,D8*(E8-F8),0),2)</f>
        <v>3300000.0</v>
      </c>
    </row>
    <row r="9">
      <c r="A9" t="inlineStr">
        <is>
          <t>Ekhva (Etelä-Karjala — vertailu)</t>
        </is>
      </c>
      <c r="B9" t="inlineStr">
        <is>
          <t>85121000-LocumMD</t>
        </is>
      </c>
      <c r="C9" t="inlineStr">
        <is>
          <t>hour</t>
        </is>
      </c>
      <c r="D9" s="2">
        <v>55000.0</v>
      </c>
      <c r="E9" s="2">
        <v>185.0</v>
      </c>
      <c r="F9" s="2">
        <v>128.0</v>
      </c>
      <c r="G9" s="2">
        <v>44.5</v>
      </c>
      <c r="H9" s="2">
        <f>ROUND(D9*E9,2)</f>
        <v>10175000.0</v>
      </c>
      <c r="I9" s="2">
        <f>ROUND(IF(E9&gt;F9,D9*(E9-F9),0),2)</f>
        <v>3135000.0</v>
      </c>
    </row>
    <row r="10">
      <c r="A10" t="inlineStr">
        <is>
          <t>Soite (Keski-Pohjanmaa — vertailu)</t>
        </is>
      </c>
      <c r="B10" t="inlineStr">
        <is>
          <t>85121000-LocumMD</t>
        </is>
      </c>
      <c r="C10" t="inlineStr">
        <is>
          <t>hour</t>
        </is>
      </c>
      <c r="D10" s="2">
        <v>45000.0</v>
      </c>
      <c r="E10" s="2">
        <v>192.0</v>
      </c>
      <c r="F10" s="2">
        <v>128.0</v>
      </c>
      <c r="G10" s="2">
        <v>50.0</v>
      </c>
      <c r="H10" s="2">
        <f>ROUND(D10*E10,2)</f>
        <v>8640000.0</v>
      </c>
      <c r="I10" s="2">
        <f>ROUND(IF(E10&gt;F10,D10*(E10-F10),0),2)</f>
        <v>2880000.0</v>
      </c>
    </row>
    <row r="11">
      <c r="A11" t="inlineStr">
        <is>
          <t>Lapha (Lappi — pitkien etäisyyksien päivystys)</t>
        </is>
      </c>
      <c r="B11" t="inlineStr">
        <is>
          <t>85121000-LocumMD</t>
        </is>
      </c>
      <c r="C11" t="inlineStr">
        <is>
          <t>hour</t>
        </is>
      </c>
      <c r="D11" s="2">
        <v>85000.0</v>
      </c>
      <c r="E11" s="2">
        <v>205.0</v>
      </c>
      <c r="F11" s="2">
        <v>128.0</v>
      </c>
      <c r="G11" s="2">
        <v>60.2</v>
      </c>
      <c r="H11" s="2">
        <f>ROUND(D11*E11,2)</f>
        <v>17425000.0</v>
      </c>
      <c r="I11" s="2">
        <f>ROUND(IF(E11&gt;F11,D11*(E11-F11),0),2)</f>
        <v>6545000.0</v>
      </c>
    </row>
    <row r="12">
      <c r="A12" t="inlineStr">
        <is>
          <t>Helsinki (Kaupunki — viitetaso)</t>
        </is>
      </c>
      <c r="B12" t="inlineStr">
        <is>
          <t>72260000-ITWorkstation</t>
        </is>
      </c>
      <c r="C12" t="inlineStr">
        <is>
          <t>FTE-year</t>
        </is>
      </c>
      <c r="D12" s="2">
        <v>38000.0</v>
      </c>
      <c r="E12" s="2">
        <v>1420.0</v>
      </c>
      <c r="F12" s="2">
        <v>1490.0</v>
      </c>
      <c r="G12" s="2">
        <v>0.0</v>
      </c>
      <c r="H12" s="2">
        <f>ROUND(D12*E12,2)</f>
        <v>53960000.0</v>
      </c>
      <c r="I12" s="2">
        <f>ROUND(IF(E12&gt;F12,D12*(E12-F12),0),2)</f>
        <v>0.0</v>
      </c>
    </row>
    <row r="13">
      <c r="A13" t="inlineStr">
        <is>
          <t>Tampere (Kaupunki — viitetaso)</t>
        </is>
      </c>
      <c r="B13" t="inlineStr">
        <is>
          <t>72260000-ITWorkstation</t>
        </is>
      </c>
      <c r="C13" t="inlineStr">
        <is>
          <t>FTE-year</t>
        </is>
      </c>
      <c r="D13" s="2">
        <v>15000.0</v>
      </c>
      <c r="E13" s="2">
        <v>1490.0</v>
      </c>
      <c r="F13" s="2">
        <v>1490.0</v>
      </c>
      <c r="G13" s="2">
        <v>0.0</v>
      </c>
      <c r="H13" s="2">
        <f>ROUND(D13*E13,2)</f>
        <v>22350000.0</v>
      </c>
      <c r="I13" s="2">
        <f>ROUND(IF(E13&gt;F13,D13*(E13-F13),0),2)</f>
        <v>0.0</v>
      </c>
    </row>
    <row r="14">
      <c r="A14" t="inlineStr">
        <is>
          <t>Pohde (Alueellinen ICT-vertailu)</t>
        </is>
      </c>
      <c r="B14" t="inlineStr">
        <is>
          <t>72260000-ITWorkstation</t>
        </is>
      </c>
      <c r="C14" t="inlineStr">
        <is>
          <t>FTE-year</t>
        </is>
      </c>
      <c r="D14" s="2">
        <v>18500.0</v>
      </c>
      <c r="E14" s="2">
        <v>1850.0</v>
      </c>
      <c r="F14" s="2">
        <v>1490.0</v>
      </c>
      <c r="G14" s="2">
        <v>24.2</v>
      </c>
      <c r="H14" s="2">
        <f>ROUND(D14*E14,2)</f>
        <v>34225000.0</v>
      </c>
      <c r="I14" s="2">
        <f>ROUND(IF(E14&gt;F14,D14*(E14-F14),0),2)</f>
        <v>6660000.0</v>
      </c>
    </row>
    <row r="15">
      <c r="A15" t="inlineStr">
        <is>
          <t>Varha (Alueellinen ICT-vertailu)</t>
        </is>
      </c>
      <c r="B15" t="inlineStr">
        <is>
          <t>72260000-ITWorkstation</t>
        </is>
      </c>
      <c r="C15" t="inlineStr">
        <is>
          <t>FTE-year</t>
        </is>
      </c>
      <c r="D15" s="2">
        <v>23000.0</v>
      </c>
      <c r="E15" s="2">
        <v>2240.0</v>
      </c>
      <c r="F15" s="2">
        <v>1490.0</v>
      </c>
      <c r="G15" s="2">
        <v>50.3</v>
      </c>
      <c r="H15" s="2">
        <f>ROUND(D15*E15,2)</f>
        <v>51520000.0</v>
      </c>
      <c r="I15" s="2">
        <f>ROUND(IF(E15&gt;F15,D15*(E15-F15),0),2)</f>
        <v>17250000.0</v>
      </c>
    </row>
    <row r="16">
      <c r="A16" t="inlineStr">
        <is>
          <t>Pirha (Alueellinen ICT-vertailu)</t>
        </is>
      </c>
      <c r="B16" t="inlineStr">
        <is>
          <t>72260000-ITWorkstation</t>
        </is>
      </c>
      <c r="C16" t="inlineStr">
        <is>
          <t>FTE-year</t>
        </is>
      </c>
      <c r="D16" s="2">
        <v>21000.0</v>
      </c>
      <c r="E16" s="2">
        <v>2480.0</v>
      </c>
      <c r="F16" s="2">
        <v>1490.0</v>
      </c>
      <c r="G16" s="2">
        <v>66.4</v>
      </c>
      <c r="H16" s="2">
        <f>ROUND(D16*E16,2)</f>
        <v>52080000.0</v>
      </c>
      <c r="I16" s="2">
        <f>ROUND(IF(E16&gt;F16,D16*(E16-F16),0),2)</f>
        <v>20790000.0</v>
      </c>
    </row>
    <row r="17">
      <c r="A17" t="inlineStr">
        <is>
          <t>Pshyva (Alueellinen ICT-vertailu)</t>
        </is>
      </c>
      <c r="B17" t="inlineStr">
        <is>
          <t>72260000-ITWorkstation</t>
        </is>
      </c>
      <c r="C17" t="inlineStr">
        <is>
          <t>FTE-year</t>
        </is>
      </c>
      <c r="D17" s="2">
        <v>12800.0</v>
      </c>
      <c r="E17" s="2">
        <v>2650.0</v>
      </c>
      <c r="F17" s="2">
        <v>1490.0</v>
      </c>
      <c r="G17" s="2">
        <v>77.9</v>
      </c>
      <c r="H17" s="2">
        <f>ROUND(D17*E17,2)</f>
        <v>33920000.0</v>
      </c>
      <c r="I17" s="2">
        <f>ROUND(IF(E17&gt;F17,D17*(E17-F17),0),2)</f>
        <v>14848000.0</v>
      </c>
    </row>
    <row r="18">
      <c r="A18" t="inlineStr">
        <is>
          <t>HUS / Vake (Erikoissairaanhoidon ICT)</t>
        </is>
      </c>
      <c r="B18" t="inlineStr">
        <is>
          <t>72260000-ITWorkstation</t>
        </is>
      </c>
      <c r="C18" t="inlineStr">
        <is>
          <t>FTE-year</t>
        </is>
      </c>
      <c r="D18" s="2">
        <v>32000.0</v>
      </c>
      <c r="E18" s="2">
        <v>2980.0</v>
      </c>
      <c r="F18" s="2">
        <v>1490.0</v>
      </c>
      <c r="G18" s="2">
        <v>100.0</v>
      </c>
      <c r="H18" s="2">
        <f>ROUND(D18*E18,2)</f>
        <v>95360000.0</v>
      </c>
      <c r="I18" s="2">
        <f>ROUND(IF(E18&gt;F18,D18*(E18-F18),0),2)</f>
        <v>47680000.0</v>
      </c>
    </row>
    <row r="19">
      <c r="A19" t="inlineStr">
        <is>
          <t>Pohde (Esko APTJ — viitetaso)</t>
        </is>
      </c>
      <c r="B19" t="inlineStr">
        <is>
          <t>48814000-EHR</t>
        </is>
      </c>
      <c r="C19" t="inlineStr">
        <is>
          <t>clinician-year</t>
        </is>
      </c>
      <c r="D19" s="2">
        <v>14000.0</v>
      </c>
      <c r="E19" s="2">
        <v>1650.0</v>
      </c>
      <c r="F19" s="2">
        <v>1820.0</v>
      </c>
      <c r="G19" s="2">
        <v>0.0</v>
      </c>
      <c r="H19" s="2">
        <f>ROUND(D19*E19,2)</f>
        <v>23100000.0</v>
      </c>
      <c r="I19" s="2">
        <f>ROUND(IF(E19&gt;F19,D19*(E19-F19),0),2)</f>
        <v>0.0</v>
      </c>
    </row>
    <row r="20">
      <c r="A20" t="inlineStr">
        <is>
          <t>Siun sote (Mediatri — viitetaso)</t>
        </is>
      </c>
      <c r="B20" t="inlineStr">
        <is>
          <t>48814000-EHR</t>
        </is>
      </c>
      <c r="C20" t="inlineStr">
        <is>
          <t>clinician-year</t>
        </is>
      </c>
      <c r="D20" s="2">
        <v>6500.0</v>
      </c>
      <c r="E20" s="2">
        <v>1820.0</v>
      </c>
      <c r="F20" s="2">
        <v>1820.0</v>
      </c>
      <c r="G20" s="2">
        <v>0.0</v>
      </c>
      <c r="H20" s="2">
        <f>ROUND(D20*E20,2)</f>
        <v>11830000.0</v>
      </c>
      <c r="I20" s="2">
        <f>ROUND(IF(E20&gt;F20,D20*(E20-F20),0),2)</f>
        <v>0.0</v>
      </c>
    </row>
    <row r="21">
      <c r="A21" t="inlineStr">
        <is>
          <t>Pirha (Kokonais-APTJ-vertailu)</t>
        </is>
      </c>
      <c r="B21" t="inlineStr">
        <is>
          <t>48814000-EHR</t>
        </is>
      </c>
      <c r="C21" t="inlineStr">
        <is>
          <t>clinician-year</t>
        </is>
      </c>
      <c r="D21" s="2">
        <v>16500.0</v>
      </c>
      <c r="E21" s="2">
        <v>2850.0</v>
      </c>
      <c r="F21" s="2">
        <v>1820.0</v>
      </c>
      <c r="G21" s="2">
        <v>56.6</v>
      </c>
      <c r="H21" s="2">
        <f>ROUND(D21*E21,2)</f>
        <v>47025000.0</v>
      </c>
      <c r="I21" s="2">
        <f>ROUND(IF(E21&gt;F21,D21*(E21-F21),0),2)</f>
        <v>16995000.0</v>
      </c>
    </row>
    <row r="22">
      <c r="A22" t="inlineStr">
        <is>
          <t>Hyvaks (Keski-Suomi APTJ-vertailu)</t>
        </is>
      </c>
      <c r="B22" t="inlineStr">
        <is>
          <t>48814000-EHR</t>
        </is>
      </c>
      <c r="C22" t="inlineStr">
        <is>
          <t>clinician-year</t>
        </is>
      </c>
      <c r="D22" s="2">
        <v>9500.0</v>
      </c>
      <c r="E22" s="2">
        <v>3150.0</v>
      </c>
      <c r="F22" s="2">
        <v>1820.0</v>
      </c>
      <c r="G22" s="2">
        <v>73.1</v>
      </c>
      <c r="H22" s="2">
        <f>ROUND(D22*E22,2)</f>
        <v>29925000.0</v>
      </c>
      <c r="I22" s="2">
        <f>ROUND(IF(E22&gt;F22,D22*(E22-F22),0),2)</f>
        <v>12635000.0</v>
      </c>
    </row>
    <row r="23">
      <c r="A23" t="inlineStr">
        <is>
          <t>Vake (Apotti-kokonaiskustannus/käyttäjä)</t>
        </is>
      </c>
      <c r="B23" t="inlineStr">
        <is>
          <t>48814000-EHR</t>
        </is>
      </c>
      <c r="C23" t="inlineStr">
        <is>
          <t>clinician-year</t>
        </is>
      </c>
      <c r="D23" s="2">
        <v>4800.0</v>
      </c>
      <c r="E23" s="2">
        <v>5800.0</v>
      </c>
      <c r="F23" s="2">
        <v>1820.0</v>
      </c>
      <c r="G23" s="2">
        <v>218.7</v>
      </c>
      <c r="H23" s="2">
        <f>ROUND(D23*E23,2)</f>
        <v>27840000.0</v>
      </c>
      <c r="I23" s="2">
        <f>ROUND(IF(E23&gt;F23,D23*(E23-F23),0),2)</f>
        <v>19104000.0</v>
      </c>
    </row>
    <row r="24">
      <c r="A24" t="inlineStr">
        <is>
          <t>HUS-yhtymä (Apotti-kokonaiskustannus/käyttäjä)</t>
        </is>
      </c>
      <c r="B24" t="inlineStr">
        <is>
          <t>48814000-EHR</t>
        </is>
      </c>
      <c r="C24" t="inlineStr">
        <is>
          <t>clinician-year</t>
        </is>
      </c>
      <c r="D24" s="2">
        <v>22000.0</v>
      </c>
      <c r="E24" s="2">
        <v>6200.0</v>
      </c>
      <c r="F24" s="2">
        <v>1820.0</v>
      </c>
      <c r="G24" s="2">
        <v>240.7</v>
      </c>
      <c r="H24" s="2">
        <f>ROUND(D24*E24,2)</f>
        <v>136400000.0</v>
      </c>
      <c r="I24" s="2">
        <f>ROUND(IF(E24&gt;F24,D24*(E24-F24),0),2)</f>
        <v>96360000.0</v>
      </c>
    </row>
    <row r="25">
      <c r="A25" t="inlineStr">
        <is>
          <t>Etelä-Pohjanmaa (Ostopalvelun P25-viitetaso)</t>
        </is>
      </c>
      <c r="B25" t="inlineStr">
        <is>
          <t>85311100-ElderlyCare</t>
        </is>
      </c>
      <c r="C25" t="inlineStr">
        <is>
          <t>resident-day</t>
        </is>
      </c>
      <c r="D25" s="2">
        <v>820000.0</v>
      </c>
      <c r="E25" s="2">
        <v>172.0</v>
      </c>
      <c r="F25" s="2">
        <v>178.0</v>
      </c>
      <c r="G25" s="2">
        <v>0.0</v>
      </c>
      <c r="H25" s="2">
        <f>ROUND(D25*E25,2)</f>
        <v>141040000.0</v>
      </c>
      <c r="I25" s="2">
        <f>ROUND(IF(E25&gt;F25,D25*(E25-F25),0),2)</f>
        <v>0.0</v>
      </c>
    </row>
    <row r="26">
      <c r="A26" t="inlineStr">
        <is>
          <t>Satakunta (Ostopalvelun viitetaso)</t>
        </is>
      </c>
      <c r="B26" t="inlineStr">
        <is>
          <t>85311100-ElderlyCare</t>
        </is>
      </c>
      <c r="C26" t="inlineStr">
        <is>
          <t>resident-day</t>
        </is>
      </c>
      <c r="D26" s="2">
        <v>890000.0</v>
      </c>
      <c r="E26" s="2">
        <v>178.0</v>
      </c>
      <c r="F26" s="2">
        <v>178.0</v>
      </c>
      <c r="G26" s="2">
        <v>0.0</v>
      </c>
      <c r="H26" s="2">
        <f>ROUND(D26*E26,2)</f>
        <v>158420000.0</v>
      </c>
      <c r="I26" s="2">
        <f>ROUND(IF(E26&gt;F26,D26*(E26-F26),0),2)</f>
        <v>0.0</v>
      </c>
    </row>
    <row r="27">
      <c r="A27" t="inlineStr">
        <is>
          <t>Pirha (Keskimääräinen hoitopäivähinta)</t>
        </is>
      </c>
      <c r="B27" t="inlineStr">
        <is>
          <t>85311100-ElderlyCare</t>
        </is>
      </c>
      <c r="C27" t="inlineStr">
        <is>
          <t>resident-day</t>
        </is>
      </c>
      <c r="D27" s="2">
        <v>1750000.0</v>
      </c>
      <c r="E27" s="2">
        <v>206.0</v>
      </c>
      <c r="F27" s="2">
        <v>178.0</v>
      </c>
      <c r="G27" s="2">
        <v>15.7</v>
      </c>
      <c r="H27" s="2">
        <f>ROUND(D27*E27,2)</f>
        <v>360500000.0</v>
      </c>
      <c r="I27" s="2">
        <f>ROUND(IF(E27&gt;F27,D27*(E27-F27),0),2)</f>
        <v>49000000.0</v>
      </c>
    </row>
    <row r="28">
      <c r="A28" t="inlineStr">
        <is>
          <t>Luvn (Länsi-Uusimaa — korkea kustannustaso)</t>
        </is>
      </c>
      <c r="B28" t="inlineStr">
        <is>
          <t>85311100-ElderlyCare</t>
        </is>
      </c>
      <c r="C28" t="inlineStr">
        <is>
          <t>resident-day</t>
        </is>
      </c>
      <c r="D28" s="2">
        <v>1420000.0</v>
      </c>
      <c r="E28" s="2">
        <v>224.0</v>
      </c>
      <c r="F28" s="2">
        <v>178.0</v>
      </c>
      <c r="G28" s="2">
        <v>25.8</v>
      </c>
      <c r="H28" s="2">
        <f>ROUND(D28*E28,2)</f>
        <v>318080000.0</v>
      </c>
      <c r="I28" s="2">
        <f>ROUND(IF(E28&gt;F28,D28*(E28-F28),0),2)</f>
        <v>65320000.0</v>
      </c>
    </row>
    <row r="29">
      <c r="A29" t="inlineStr">
        <is>
          <t>Helsinki (Oman tuotannon &amp; ostopalvelun painotettu taso)</t>
        </is>
      </c>
      <c r="B29" t="inlineStr">
        <is>
          <t>85311100-ElderlyCare</t>
        </is>
      </c>
      <c r="C29" t="inlineStr">
        <is>
          <t>resident-day</t>
        </is>
      </c>
      <c r="D29" s="2">
        <v>2100000.0</v>
      </c>
      <c r="E29" s="2">
        <v>238.0</v>
      </c>
      <c r="F29" s="2">
        <v>178.0</v>
      </c>
      <c r="G29" s="2">
        <v>33.7</v>
      </c>
      <c r="H29" s="2">
        <f>ROUND(D29*E29,2)</f>
        <v>499800000.0</v>
      </c>
      <c r="I29" s="2">
        <f>ROUND(IF(E29&gt;F29,D29*(E29-F29),0),2)</f>
        <v>126000000.0</v>
      </c>
    </row>
    <row r="30">
      <c r="A30" t="inlineStr">
        <is>
          <t>Vake (Vantaa-Kerava — korkea kustannustaso)</t>
        </is>
      </c>
      <c r="B30" t="inlineStr">
        <is>
          <t>85311100-ElderlyCare</t>
        </is>
      </c>
      <c r="C30" t="inlineStr">
        <is>
          <t>resident-day</t>
        </is>
      </c>
      <c r="D30" s="2">
        <v>780000.0</v>
      </c>
      <c r="E30" s="2">
        <v>248.0</v>
      </c>
      <c r="F30" s="2">
        <v>178.0</v>
      </c>
      <c r="G30" s="2">
        <v>39.3</v>
      </c>
      <c r="H30" s="2">
        <f>ROUND(D30*E30,2)</f>
        <v>193440000.0</v>
      </c>
      <c r="I30" s="2">
        <f>ROUND(IF(E30&gt;F30,D30*(E30-F30),0),2)</f>
        <v>54600000.0</v>
      </c>
    </row>
    <row r="31">
      <c r="A31" t="inlineStr">
        <is>
          <t>Oulu / Pohde (Viitetaso)</t>
        </is>
      </c>
      <c r="B31" t="inlineStr">
        <is>
          <t>60130000-SoteTransport</t>
        </is>
      </c>
      <c r="C31" t="inlineStr">
        <is>
          <t>trip</t>
        </is>
      </c>
      <c r="D31" s="2">
        <v>950000.0</v>
      </c>
      <c r="E31" s="2">
        <v>26.5</v>
      </c>
      <c r="F31" s="2">
        <v>28.0</v>
      </c>
      <c r="G31" s="2">
        <v>0.0</v>
      </c>
      <c r="H31" s="2">
        <f>ROUND(D31*E31,2)</f>
        <v>25175000.0</v>
      </c>
      <c r="I31" s="2">
        <f>ROUND(IF(E31&gt;F31,D31*(E31-F31),0),2)</f>
        <v>0.0</v>
      </c>
    </row>
    <row r="32">
      <c r="A32" t="inlineStr">
        <is>
          <t>Tampere / Pirha (Viitetaso)</t>
        </is>
      </c>
      <c r="B32" t="inlineStr">
        <is>
          <t>60130000-SoteTransport</t>
        </is>
      </c>
      <c r="C32" t="inlineStr">
        <is>
          <t>trip</t>
        </is>
      </c>
      <c r="D32" s="2">
        <v>1250000.0</v>
      </c>
      <c r="E32" s="2">
        <v>28.0</v>
      </c>
      <c r="F32" s="2">
        <v>28.0</v>
      </c>
      <c r="G32" s="2">
        <v>0.0</v>
      </c>
      <c r="H32" s="2">
        <f>ROUND(D32*E32,2)</f>
        <v>35000000.0</v>
      </c>
      <c r="I32" s="2">
        <f>ROUND(IF(E32&gt;F32,D32*(E32-F32),0),2)</f>
        <v>0.0</v>
      </c>
    </row>
    <row r="33">
      <c r="A33" t="inlineStr">
        <is>
          <t>Turku / Varha (Aluevertailu)</t>
        </is>
      </c>
      <c r="B33" t="inlineStr">
        <is>
          <t>60130000-SoteTransport</t>
        </is>
      </c>
      <c r="C33" t="inlineStr">
        <is>
          <t>trip</t>
        </is>
      </c>
      <c r="D33" s="2">
        <v>880000.0</v>
      </c>
      <c r="E33" s="2">
        <v>34.0</v>
      </c>
      <c r="F33" s="2">
        <v>28.0</v>
      </c>
      <c r="G33" s="2">
        <v>21.4</v>
      </c>
      <c r="H33" s="2">
        <f>ROUND(D33*E33,2)</f>
        <v>29920000.0</v>
      </c>
      <c r="I33" s="2">
        <f>ROUND(IF(E33&gt;F33,D33*(E33-F33),0),2)</f>
        <v>5280000.0</v>
      </c>
    </row>
    <row r="34">
      <c r="A34" t="inlineStr">
        <is>
          <t>Keski-Suomi (Hyvaks — pitkät matkat)</t>
        </is>
      </c>
      <c r="B34" t="inlineStr">
        <is>
          <t>60130000-SoteTransport</t>
        </is>
      </c>
      <c r="C34" t="inlineStr">
        <is>
          <t>trip</t>
        </is>
      </c>
      <c r="D34" s="2">
        <v>720000.0</v>
      </c>
      <c r="E34" s="2">
        <v>41.0</v>
      </c>
      <c r="F34" s="2">
        <v>28.0</v>
      </c>
      <c r="G34" s="2">
        <v>46.4</v>
      </c>
      <c r="H34" s="2">
        <f>ROUND(D34*E34,2)</f>
        <v>29520000.0</v>
      </c>
      <c r="I34" s="2">
        <f>ROUND(IF(E34&gt;F34,D34*(E34-F34),0),2)</f>
        <v>9360000.0</v>
      </c>
    </row>
    <row r="35">
      <c r="A35" t="inlineStr">
        <is>
          <t>Lappi (Lapha — harva asutus &amp; etäisyydet)</t>
        </is>
      </c>
      <c r="B35" t="inlineStr">
        <is>
          <t>60130000-SoteTransport</t>
        </is>
      </c>
      <c r="C35" t="inlineStr">
        <is>
          <t>trip</t>
        </is>
      </c>
      <c r="D35" s="2">
        <v>640000.0</v>
      </c>
      <c r="E35" s="2">
        <v>52.0</v>
      </c>
      <c r="F35" s="2">
        <v>28.0</v>
      </c>
      <c r="G35" s="2">
        <v>85.7</v>
      </c>
      <c r="H35" s="2">
        <f>ROUND(D35*E35,2)</f>
        <v>33280000.0</v>
      </c>
      <c r="I35" s="2">
        <f>ROUND(IF(E35&gt;F35,D35*(E35-F35),0),2)</f>
        <v>15360000.0</v>
      </c>
    </row>
    <row r="36">
      <c r="A36" t="inlineStr">
        <is>
          <t>YHTEENSÄ (P25-HINTAVERTAILUN OTOS)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s="2">
        <f>SUM(H4:H35)</f>
        <v>2538230000.0</v>
      </c>
      <c r="I36" s="2">
        <f>SUM(I4:I35)</f>
        <v>594402000.0</v>
      </c>
    </row>
  </sheetData>
</worksheet>
</file>

<file path=xl/worksheets/sheet4.xml><?xml version="1.0" encoding="utf-8"?>
<worksheet xmlns="http://schemas.openxmlformats.org/spreadsheetml/2006/main">
  <cols>
    <col min="1" max="1" width="28" customWidth="1"/>
    <col min="2" max="2" width="32" customWidth="1"/>
    <col min="3" max="3" width="22" customWidth="1"/>
    <col min="4" max="4" width="18" customWidth="1"/>
    <col min="5" max="5" width="20" customWidth="1"/>
    <col min="6" max="6" width="22" customWidth="1"/>
    <col min="7" max="7" width="52" customWidth="1"/>
    <col min="8" max="8" width="22" customWidth="1"/>
  </cols>
  <sheetData>
    <row r="1">
      <c r="A1" t="inlineStr" s="1">
        <is>
          <t>MARKKINAOIKEUS (MAO) &amp; HILMA 1–2 TARJOUKSEN KARTELLIHANKINNAT SEKÄ 0 € KKV-VALITUSPOHJAT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</row>
    <row r="2">
      <c r="A2" t="inlineStr">
        <is>
          <t>Jokainen alle 2 tarjouksen sopimus &gt;100 000 € luokassa, jossa on &gt;=5 pk-haastajaa, merkitään uudelleenkilpailutettavaksi.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 s="1">
        <is>
          <t>MAO / Hilma -tapaus</t>
        </is>
      </c>
      <c r="B3" t="inlineStr" s="1">
        <is>
          <t>Hankintayksikkö</t>
        </is>
      </c>
      <c r="C3" t="inlineStr" s="1">
        <is>
          <t>CPV-koodi</t>
        </is>
      </c>
      <c r="D3" t="inlineStr" s="1">
        <is>
          <t>Sopimusarvo (€)</t>
        </is>
      </c>
      <c r="E3" t="inlineStr" s="1">
        <is>
          <t>Saadut tarjoukset (kpl)</t>
        </is>
      </c>
      <c r="F3" t="inlineStr" s="1">
        <is>
          <t>Kelpoiset PK-haastajat (kpl)</t>
        </is>
      </c>
      <c r="G3" t="inlineStr" s="1">
        <is>
          <t>Kilpailunrajoitus / Lukitusmekanismi</t>
        </is>
      </c>
      <c r="H3" t="inlineStr" s="1">
        <is>
          <t>Odotettu vuosisäästö (€/v)</t>
        </is>
      </c>
    </row>
    <row r="4">
      <c r="A4" t="inlineStr">
        <is>
          <t>MAO:154/2024 &amp; KHO 8.10.2025 (T2250)</t>
        </is>
      </c>
      <c r="B4" t="inlineStr">
        <is>
          <t>Vantaan ja Keravan hyvinvointialue (Vake)</t>
        </is>
      </c>
      <c r="C4" t="inlineStr">
        <is>
          <t>79211100-Payroll</t>
        </is>
      </c>
      <c r="D4" s="2">
        <v>9300000.0</v>
      </c>
      <c r="E4" s="2">
        <v>0</v>
      </c>
      <c r="F4" s="2">
        <v>24</v>
      </c>
      <c r="G4" t="inlineStr">
        <is>
          <t>KKV:n esitys: 0,04 % osakeomistus ei täyttänyt hankintalain 15 §:n määräysvaltaedellytystä. MAO ja KHO totesivat suorahankinnan lainvastaiseksi ja lyhensivät sopimuskauden päättymään ennenaikaisesti.</t>
        </is>
      </c>
      <c r="H4" s="2">
        <v>2325000.0</v>
      </c>
    </row>
    <row r="5">
      <c r="A5" t="inlineStr">
        <is>
          <t>MAO:500/2024 (D:377/2023)</t>
        </is>
      </c>
      <c r="B5" t="inlineStr">
        <is>
          <t>Varsinais-Suomen hyvinvointialue (Varha)</t>
        </is>
      </c>
      <c r="C5" t="inlineStr">
        <is>
          <t>79940000-Collections</t>
        </is>
      </c>
      <c r="D5" s="2">
        <v>1900000.0</v>
      </c>
      <c r="E5" s="2">
        <v>0</v>
      </c>
      <c r="F5" s="2">
        <v>18</v>
      </c>
      <c r="G5" t="inlineStr">
        <is>
          <t>KKV:n esitys: Varhan 0,09 % epäsuora omistusosuus ei tuottanut hankintalain 15 §:n mukaista sidosyksikköasemaa. Markkinaoikeus määräsi sopimukset päättymään ennenaikaisesti ja määräsi seuraamusmaksun.</t>
        </is>
      </c>
      <c r="H5" s="2">
        <v>475000.0</v>
      </c>
    </row>
    <row r="6">
      <c r="A6" t="inlineStr">
        <is>
          <t>MAO:611/2025 (D:324–340/2025)</t>
        </is>
      </c>
      <c r="B6" t="inlineStr">
        <is>
          <t>Pirkanmaan hyvinvointialue (Pirha)</t>
        </is>
      </c>
      <c r="C6" t="inlineStr">
        <is>
          <t>85311100-ElderlyCare</t>
        </is>
      </c>
      <c r="D6" s="2">
        <v>54000000.0</v>
      </c>
      <c r="E6" s="2">
        <v>0</v>
      </c>
      <c r="F6" s="2">
        <v>32</v>
      </c>
      <c r="G6" t="inlineStr">
        <is>
          <t>TampereMissio Palvelut Oy:n valitus: Pirha teki vuonna 2025 yhteensä n. 54 M€ suorahankintasopimukset ilman hankintalain mukaista kilpailutusta. Markkinaoikeus määräsi 500 000 € seuraamusmaksun.</t>
        </is>
      </c>
      <c r="H6" s="2">
        <v>13500000.0</v>
      </c>
    </row>
    <row r="7">
      <c r="A7" t="inlineStr">
        <is>
          <t>MAO:537/2025</t>
        </is>
      </c>
      <c r="B7" t="inlineStr">
        <is>
          <t>Rovaniemen kaupunki</t>
        </is>
      </c>
      <c r="C7" t="inlineStr">
        <is>
          <t>79342000-Marketing</t>
        </is>
      </c>
      <c r="D7" s="2">
        <v>760000.0</v>
      </c>
      <c r="E7" s="2">
        <v>0</v>
      </c>
      <c r="F7" s="2">
        <v>15</v>
      </c>
      <c r="G7" t="inlineStr">
        <is>
          <t>KKV:n esitys: Kaupunki jatkoi matkailu- ja markkinointipalveluiden ostoja vanhan vuoden 2010 sopimuksen nojalla ilman kilpailutusta. Markkinaoikeus määräsi 40 000 € seuraamusmaksun.</t>
        </is>
      </c>
      <c r="H7" s="2">
        <v>190000.0</v>
      </c>
    </row>
    <row r="8">
      <c r="A8" t="inlineStr">
        <is>
          <t>MAO:202/2025 (D:610/2024)</t>
        </is>
      </c>
      <c r="B8" t="inlineStr">
        <is>
          <t>Etelä-Pohjanmaan hyvinvointialue (Hyvaep)</t>
        </is>
      </c>
      <c r="C8" t="inlineStr">
        <is>
          <t>72260000-IT</t>
        </is>
      </c>
      <c r="D8" s="2">
        <v>450000.0</v>
      </c>
      <c r="E8" s="2">
        <v>0</v>
      </c>
      <c r="F8" s="2">
        <v>14</v>
      </c>
      <c r="G8" t="inlineStr">
        <is>
          <t>Atostek Oy:n valitus: Hyvinvointialue vetosi hankintalain 40 §:n tekniseen yksinoikeuteen potilastietojen poiminnassa, mutta markkinaoikeus kumosi suorahankintapäätöksen, koska myös kolmas osapuoli kykeni toteuttamaan työn.</t>
        </is>
      </c>
      <c r="H8" s="2">
        <v>112500.0</v>
      </c>
    </row>
    <row r="9">
      <c r="A9" t="inlineStr">
        <is>
          <t>MAO:748/2025</t>
        </is>
      </c>
      <c r="B9" t="inlineStr">
        <is>
          <t>Etelä-Savon hyvinvointialue (Eloisa)</t>
        </is>
      </c>
      <c r="C9" t="inlineStr">
        <is>
          <t>48000000-HRSoftware</t>
        </is>
      </c>
      <c r="D9" s="2">
        <v>1200000.0</v>
      </c>
      <c r="E9" s="2">
        <v>0</v>
      </c>
      <c r="F9" s="2">
        <v>16</v>
      </c>
      <c r="G9" t="inlineStr">
        <is>
          <t>Visma Aquila Oy:n valitus: Markkinaoikeus arvioi hankintalain 136 §:n mukaista sopimuksen olennaista muuttamista sopimuskauden aikana ja velvollisuutta järjestää avoin kilpailutus.</t>
        </is>
      </c>
      <c r="H9" s="2">
        <v>300000.0</v>
      </c>
    </row>
    <row r="10">
      <c r="A10" t="inlineStr">
        <is>
          <t>MAO:665/2025</t>
        </is>
      </c>
      <c r="B10" t="inlineStr">
        <is>
          <t>Kanta-Hämeen HVA (Oma Häme) &amp; Keski-Suomen HVA</t>
        </is>
      </c>
      <c r="C10" t="inlineStr">
        <is>
          <t>48814000-EHR</t>
        </is>
      </c>
      <c r="D10" s="2">
        <v>4800000.0</v>
      </c>
      <c r="E10" s="2">
        <v>2</v>
      </c>
      <c r="F10" s="2">
        <v>19</v>
      </c>
      <c r="G10" t="inlineStr">
        <is>
          <t>CGI Suomi Oy:n valitus: Markkinaoikeus arvioi hankinta-asiakirjojen muuttamista kesken hankintamenettelyn sekä tarjoajien tasapuolisen ja syrjimättömän kohtelun toteutumista (Hankintalaki 3 §).</t>
        </is>
      </c>
      <c r="H10" s="2">
        <v>768000.0</v>
      </c>
    </row>
    <row r="11">
      <c r="A11" t="inlineStr">
        <is>
          <t>MAO:553/2025</t>
        </is>
      </c>
      <c r="B11" t="inlineStr">
        <is>
          <t>Kanta-Hämeen HVA &amp; yhteishankintakumppanit</t>
        </is>
      </c>
      <c r="C11" t="inlineStr">
        <is>
          <t>72260000-SpeechRec</t>
        </is>
      </c>
      <c r="D11" s="2">
        <v>3200000.0</v>
      </c>
      <c r="E11" s="2">
        <v>2</v>
      </c>
      <c r="F11" s="2">
        <v>12</v>
      </c>
      <c r="G11" t="inlineStr">
        <is>
          <t>Diktamen Oy:n ja Lingsoft Language Services Oy:n valitukset: Markkinaoikeus arvioi yhteishankinnan tarjouspyynnön mukaisuutta sekä poikkeuksellisen alhaisen tarjoushinnan selvittämisvelvollisuutta (Hankintalaki 96 §).</t>
        </is>
      </c>
      <c r="H11" s="2">
        <v>512000.0</v>
      </c>
    </row>
    <row r="12">
      <c r="A12" t="inlineStr">
        <is>
          <t>MAO:223/2023</t>
        </is>
      </c>
      <c r="B12" t="inlineStr">
        <is>
          <t>Hangon kaupunki</t>
        </is>
      </c>
      <c r="C12" t="inlineStr">
        <is>
          <t>85121000-LocumMD</t>
        </is>
      </c>
      <c r="D12" s="2">
        <v>1400000.0</v>
      </c>
      <c r="E12" s="2">
        <v>0</v>
      </c>
      <c r="F12" s="2">
        <v>15</v>
      </c>
      <c r="G12" t="inlineStr">
        <is>
          <t>KKV:n esitys: Kaupunki ketjutti terveyskeskuksen lääkäri- ja vastaanottopalveluiden suorahankinnat kahdella peräkkäisellä sopimuksella (yht. 1,4 M€) ilman kilpailutusta. MAO määräsi 65 000 € seuraamusmaksun.</t>
        </is>
      </c>
      <c r="H12" s="2">
        <v>350000.0</v>
      </c>
    </row>
    <row r="13">
      <c r="A13" t="inlineStr">
        <is>
          <t>MAO:70/2023</t>
        </is>
      </c>
      <c r="B13" t="inlineStr">
        <is>
          <t>Isonkyrön kunta</t>
        </is>
      </c>
      <c r="C13" t="inlineStr">
        <is>
          <t>60130000-SoteTransport</t>
        </is>
      </c>
      <c r="D13" s="2">
        <v>1600000.0</v>
      </c>
      <c r="E13" s="2">
        <v>0</v>
      </c>
      <c r="F13" s="2">
        <v>22</v>
      </c>
      <c r="G13" t="inlineStr">
        <is>
          <t>KKV:n esitys: Kunta hankki koulukuljetuspalveluita suorahankintoina yhteensä n. 1,6 M€ arvosta ilman hankintalain mukaista kilpailutusta. Markkinaoikeus määräsi 35 000 € seuraamusmaksun.</t>
        </is>
      </c>
      <c r="H13" s="2">
        <v>400000.0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MALLI: 1-CLICK KKV-TOIMENPIDEPYYNTÖ (0 € KÄSITTELYMAKSU — HANKINTALAKI 139 §)</t>
        </is>
      </c>
      <c r="B15" t="inlineStr">
        <is>
          <t>TOIMENPIDEPYYNTÖ (Hankintalaki 139 §): Sidosyksikköaseman edellytysten selvittäminen — Istekki Oy (2292633-0) / Pirha, Pshyva (pääomistajat) sekä kymmenet pienomistajakunnat ja -HVA:t (&lt;10 %)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VASTAANOTTAJA: Kilpailu- ja kuluttajavirasto (KKV) — Hankintojen valvonta (kirjaamo@kkv.fi)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ASIA: TOIMENPIDEPYYNTÖ (Hankintalaki 139 §): Sidosyksikköaseman edellytysten selvittäminen — Istekki Oy (2292633-0) / Pirha, Pshyva (pääomistajat) sekä kymmenet pienomistajakunnat ja -HVA:t (&lt;10 %)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KÄSITTELYMAKSU: 0,00 € (Hankintalaki 1397/2016 139 § mukainen toimenpidepyyntö)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1. SELVITYSPYYNNÖN KOHDE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- Hankintayksikkö / tilaajaryhmä: Pirha, Pshyva (pääomistajat) sekä kymmenet pienomistajakunnat ja -HVA:t (&lt;10 %)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- Sidosyksikkö / palvelukeskus: Istekki Oy (Y-tunnus: 2292633-0)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- Viitteellinen pienosakkaan tai osakkaan omistusosuus: 0.40 % (vertailuraja: 10.0 %)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- Puitesopimus- ja alihankintakategoria: Kaupalliset ICT-laite-, lisenssi- ja asiantuntijapuitesopimustoimittajat (Tietoevry, CGI, Atea ym.)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- Yksikön vuotuinen kokonaisliikevaihto (tilinpäätös 2024–2025): 264.60 milj. EUR / vuosi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- Laskennallinen tehokkuuspotentiaali (KKV/VATT-vertailumalli): 33.48 milj. EUR / vuosi (hallinnollinen koordinointikate 6.5 % + avoimen kilpailutuksen säästöpotentiaali 7.5 %)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2. OIKEUDELLINEN PERUSTE (HANKINTALAKI 15 §, MAO:154/2024 JA KHO 8.10.2025 TALTIO 2250)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Julkisista hankinnoista ja käyttöoikeussopimuksista annetun lain (1397/2016, "hankintalaki") 15 §:n 1 momentin mukaan sidosyksikköpoikkeuksen soveltaminen edellyttää, että hankintayksikkö käyttää sidosyksikköön tosiasiallista määräysvaltaa samalla tavoin kuin omiin toimipaikkoihinsa ja tekee ratkaisevaa päätösvaltaa sidosyksikön strategisiin tavoitteisiin ja tärkeisiin päätöksiin.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Markkinaoikeuden päätöksessä MAO:154/2024 sekä korkeimman hallinto-oikeuden ennakkopäätöksessä KHO 8.10.2025 taltio 2250 on vahvistettu, ettei muodollinen pienomistus (0.40 %) ilman tosiasiallista päätösvaltaa täytä hankintalain 15 §:n edellytyksiä. Lisäksi hankintalain uudistuksen (HE 2/2026 vp) mukainen 10 prosentin vähimmäisomistusosuusraja täsmentää sidosyksikköpoikkeuksen soveltamisalaa.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Pyydämme KKV:tä selvittämään, täyttääkö pienosakkaiden (Pirha, Pshyva (pääomistajat) sekä kymmenet pienomistajakunnat ja -HVA:t (&lt;10 %), viitteellinen pienomistusosuus 0.40 %) suorahankintamenettely yhtiöltä Istekki Oy (2292633-0) hankintalain 15 §:n edellytykset vai tuleeko kyseiset palvelut kilpailuttaa avoimella menettelyllä.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3. PYYNTÖ KILPAILU- JA KULUTTAJAVIRASTOLLE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Pyydämme Kilpailu- ja kuluttajavirastoa hankintalain 139–141 §:n nojalla: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1) Selvittämään, täyttävätkö pienosakkaiden (Pirha, Pshyva (pääomistajat) sekä kymmenet pienomistajakunnat ja -HVA:t (&lt;10 %)) suorahankinnat yksiköltä Istekki Oy (Y-tunnus 2292633-0) hankintalain 15 §:n ja KHO 8.10.2025 (taltio 2250) mukaiset edellytykset;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2) Antamaan tarvittaessa hankintalain 140 §:n mukaisen huomautuksen tai ohjauksen avoimen kilpailutuksen järjestämisestä.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</sheetData>
</worksheet>
</file>

<file path=xl/worksheets/sheet5.xml><?xml version="1.0" encoding="utf-8"?>
<worksheet xmlns="http://schemas.openxmlformats.org/spreadsheetml/2006/main">
  <cols>
    <col min="1" max="1" width="42" customWidth="1"/>
    <col min="2" max="2" width="20" customWidth="1"/>
    <col min="3" max="3" width="18" customWidth="1"/>
    <col min="4" max="4" width="32" customWidth="1"/>
    <col min="5" max="5" width="20" customWidth="1"/>
    <col min="6" max="6" width="32" customWidth="1"/>
    <col min="7" max="7" width="48" customWidth="1"/>
  </cols>
  <sheetData>
    <row r="1">
      <c r="A1" t="inlineStr" s="1">
        <is>
          <t>KAIKKI 43 SUURINTA JULKISTA OSTAJAA (21 HYVINVOINTIALUETTA + HUS + 21 SUURINTA KAUPUNKIA)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</row>
    <row r="2">
      <c r="A2" t="inlineStr">
        <is>
          <t>Julkisuuslain (621/1999) 13 § ja 16.3 § velvoittaa jokaisen viranomaisen luovuttamaan ostolaskudatan 14 vrk kuluessa.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 s="1">
        <is>
          <t>Julkinen hankintayksikkö</t>
        </is>
      </c>
      <c r="B3" t="inlineStr" s="1">
        <is>
          <t>Tyyppi (HVA / HUS / Kunta)</t>
        </is>
      </c>
      <c r="C3" t="inlineStr" s="1">
        <is>
          <t>PRH Y-tunnus (Modulo-11)</t>
        </is>
      </c>
      <c r="D3" t="inlineStr" s="1">
        <is>
          <t>Virallinen kirjaamo-sähköposti</t>
        </is>
      </c>
      <c r="E3" t="inlineStr" s="1">
        <is>
          <t>Ulkoiset ostot (M€/v)</t>
        </is>
      </c>
      <c r="F3" t="inlineStr" s="1">
        <is>
          <t>Julkaiseeko avoimen ostolaskudatan?</t>
        </is>
      </c>
      <c r="G3" t="inlineStr" s="1">
        <is>
          <t>Keskeiset sidosyksikkö- ja in-house-yhtiöt</t>
        </is>
      </c>
    </row>
    <row r="4">
      <c r="A4" t="inlineStr">
        <is>
          <t>HUS-yhtymä</t>
        </is>
      </c>
      <c r="B4" t="inlineStr">
        <is>
          <t>HUS</t>
        </is>
      </c>
      <c r="C4" t="inlineStr">
        <is>
          <t>1567535-0</t>
        </is>
      </c>
      <c r="D4" t="inlineStr">
        <is>
          <t>kirjaamo@hus.fi</t>
        </is>
      </c>
      <c r="E4" s="2">
        <v>1480.0</v>
      </c>
      <c r="F4" t="inlineStr">
        <is>
          <t>KYLLÄ</t>
        </is>
      </c>
      <c r="G4" t="inlineStr">
        <is>
          <t>Oy Apotti Ab, Valtori</t>
        </is>
      </c>
    </row>
    <row r="5">
      <c r="A5" t="inlineStr">
        <is>
          <t>Pirkanmaan hyvinvointialue (Pirha)</t>
        </is>
      </c>
      <c r="B5" t="inlineStr">
        <is>
          <t>HVA</t>
        </is>
      </c>
      <c r="C5" t="inlineStr">
        <is>
          <t>3221308-6</t>
        </is>
      </c>
      <c r="D5" t="inlineStr">
        <is>
          <t>kirjaamo@pirha.fi</t>
        </is>
      </c>
      <c r="E5" s="2">
        <v>1320.0</v>
      </c>
      <c r="F5" t="inlineStr">
        <is>
          <t>KYLLÄ</t>
        </is>
      </c>
      <c r="G5" t="inlineStr">
        <is>
          <t>Istekki Oy, Fimlab Oy, Tuomi Logistiikka Oy, Monetra</t>
        </is>
      </c>
    </row>
    <row r="6">
      <c r="A6" t="inlineStr">
        <is>
          <t>Varsinais-Suomen hyvinvointialue (Varha)</t>
        </is>
      </c>
      <c r="B6" t="inlineStr">
        <is>
          <t>HVA</t>
        </is>
      </c>
      <c r="C6" t="inlineStr">
        <is>
          <t>3221065-1</t>
        </is>
      </c>
      <c r="D6" t="inlineStr">
        <is>
          <t>kirjaamo@varha.fi</t>
        </is>
      </c>
      <c r="E6" s="2">
        <v>1190.0</v>
      </c>
      <c r="F6" t="inlineStr">
        <is>
          <t>EI (Vaadi JulkL 13 § tietopyynnöllä)</t>
        </is>
      </c>
      <c r="G6" t="inlineStr">
        <is>
          <t>2M-IT Oy, Numera/Sarastia, Kaarea Oy</t>
        </is>
      </c>
    </row>
    <row r="7">
      <c r="A7" t="inlineStr">
        <is>
          <t>Pohjois-Pohjanmaan hyvinvointialue (Pohde)</t>
        </is>
      </c>
      <c r="B7" t="inlineStr">
        <is>
          <t>HVA</t>
        </is>
      </c>
      <c r="C7" t="inlineStr">
        <is>
          <t>3221326-2</t>
        </is>
      </c>
      <c r="D7" t="inlineStr">
        <is>
          <t>kirjaamo@pohde.fi</t>
        </is>
      </c>
      <c r="E7" s="2">
        <v>1080.0</v>
      </c>
      <c r="F7" t="inlineStr">
        <is>
          <t>EI (Vaadi JulkL 13 § tietopyynnöllä)</t>
        </is>
      </c>
      <c r="G7" t="inlineStr">
        <is>
          <t>Monetra Oy, Istekki Oy, Esko Systems Oy</t>
        </is>
      </c>
    </row>
    <row r="8">
      <c r="A8" t="inlineStr">
        <is>
          <t>Länsi-Uudenmaan hyvinvointialue (Luvn)</t>
        </is>
      </c>
      <c r="B8" t="inlineStr">
        <is>
          <t>HVA</t>
        </is>
      </c>
      <c r="C8" t="inlineStr">
        <is>
          <t>3221347-3</t>
        </is>
      </c>
      <c r="D8" t="inlineStr">
        <is>
          <t>kirjaamo@luvn.fi</t>
        </is>
      </c>
      <c r="E8" s="2">
        <v>1040.0</v>
      </c>
      <c r="F8" t="inlineStr">
        <is>
          <t>EI (Vaadi JulkL 13 § tietopyynnöllä)</t>
        </is>
      </c>
      <c r="G8" t="inlineStr">
        <is>
          <t>2M-IT Oy, Numera/Sarastia, Tiera Oy</t>
        </is>
      </c>
    </row>
    <row r="9">
      <c r="A9" t="inlineStr">
        <is>
          <t>Vantaan ja Keravan hyvinvointialue (Vake)</t>
        </is>
      </c>
      <c r="B9" t="inlineStr">
        <is>
          <t>HVA</t>
        </is>
      </c>
      <c r="C9" t="inlineStr">
        <is>
          <t>3221356-1</t>
        </is>
      </c>
      <c r="D9" t="inlineStr">
        <is>
          <t>kirjaamo@vakehyva.fi</t>
        </is>
      </c>
      <c r="E9" s="2">
        <v>790.0</v>
      </c>
      <c r="F9" t="inlineStr">
        <is>
          <t>EI (Vaadi JulkL 13 § tietopyynnöllä)</t>
        </is>
      </c>
      <c r="G9" t="inlineStr">
        <is>
          <t>Oy Apotti Ab, Numera/Sarastia</t>
        </is>
      </c>
    </row>
    <row r="10">
      <c r="A10" t="inlineStr">
        <is>
          <t>Keski-Suomen hyvinvointialue (Hyvaks)</t>
        </is>
      </c>
      <c r="B10" t="inlineStr">
        <is>
          <t>HVA</t>
        </is>
      </c>
      <c r="C10" t="inlineStr">
        <is>
          <t>3221318-2</t>
        </is>
      </c>
      <c r="D10" t="inlineStr">
        <is>
          <t>kirjaamo@hyvaks.fi</t>
        </is>
      </c>
      <c r="E10" s="2">
        <v>690.0</v>
      </c>
      <c r="F10" t="inlineStr">
        <is>
          <t>EI (Vaadi JulkL 13 § tietopyynnöllä)</t>
        </is>
      </c>
      <c r="G10" t="inlineStr">
        <is>
          <t>Istekki Oy, Monetra Oy, 2M-IT Oy, Fimlab Oy</t>
        </is>
      </c>
    </row>
    <row r="11">
      <c r="A11" t="inlineStr">
        <is>
          <t>Pohjois-Savon hyvinvointialue (Pshyva)</t>
        </is>
      </c>
      <c r="B11" t="inlineStr">
        <is>
          <t>HVA</t>
        </is>
      </c>
      <c r="C11" t="inlineStr">
        <is>
          <t>3221316-6</t>
        </is>
      </c>
      <c r="D11" t="inlineStr">
        <is>
          <t>kirjaamo@pshyva.fi</t>
        </is>
      </c>
      <c r="E11" s="2">
        <v>660.0</v>
      </c>
      <c r="F11" t="inlineStr">
        <is>
          <t>EI (Vaadi JulkL 13 § tietopyynnöllä)</t>
        </is>
      </c>
      <c r="G11" t="inlineStr">
        <is>
          <t>Istekki Oy, ISLAB, Sansia Oy, Numera/Sarastia</t>
        </is>
      </c>
    </row>
    <row r="12">
      <c r="A12" t="inlineStr">
        <is>
          <t>Satakunnan hyvinvointialue (Sata)</t>
        </is>
      </c>
      <c r="B12" t="inlineStr">
        <is>
          <t>HVA</t>
        </is>
      </c>
      <c r="C12" t="inlineStr">
        <is>
          <t>3221302-7</t>
        </is>
      </c>
      <c r="D12" t="inlineStr">
        <is>
          <t>kirjaamo@sata.fi</t>
        </is>
      </c>
      <c r="E12" s="2">
        <v>610.0</v>
      </c>
      <c r="F12" t="inlineStr">
        <is>
          <t>EI (Vaadi JulkL 13 § tietopyynnöllä)</t>
        </is>
      </c>
      <c r="G12" t="inlineStr">
        <is>
          <t>2M-IT Oy, Numera/Sarastia</t>
        </is>
      </c>
    </row>
    <row r="13">
      <c r="A13" t="inlineStr">
        <is>
          <t>Päijät-Hämeen hyvinvointialue (Päijät-Sote)</t>
        </is>
      </c>
      <c r="B13" t="inlineStr">
        <is>
          <t>HVA</t>
        </is>
      </c>
      <c r="C13" t="inlineStr">
        <is>
          <t>3221309-4</t>
        </is>
      </c>
      <c r="D13" t="inlineStr">
        <is>
          <t>kirjaamo@paijatha.fi</t>
        </is>
      </c>
      <c r="E13" s="2">
        <v>590.0</v>
      </c>
      <c r="F13" t="inlineStr">
        <is>
          <t>EI (Vaadi JulkL 13 § tietopyynnöllä)</t>
        </is>
      </c>
      <c r="G13" t="inlineStr">
        <is>
          <t>2M-IT Oy, Fimlab Oy, Numera/Sarastia</t>
        </is>
      </c>
    </row>
    <row r="14">
      <c r="A14" t="inlineStr">
        <is>
          <t>Lapin hyvinvointialue (Lapha)</t>
        </is>
      </c>
      <c r="B14" t="inlineStr">
        <is>
          <t>HVA</t>
        </is>
      </c>
      <c r="C14" t="inlineStr">
        <is>
          <t>3221332-6</t>
        </is>
      </c>
      <c r="D14" t="inlineStr">
        <is>
          <t>kirjaamo@lapha.fi</t>
        </is>
      </c>
      <c r="E14" s="2">
        <v>580.0</v>
      </c>
      <c r="F14" t="inlineStr">
        <is>
          <t>EI (Vaadi JulkL 13 § tietopyynnöllä)</t>
        </is>
      </c>
      <c r="G14" t="inlineStr">
        <is>
          <t>2M-IT Oy, Numera/Sarastia, Tiera Oy</t>
        </is>
      </c>
    </row>
    <row r="15">
      <c r="A15" t="inlineStr">
        <is>
          <t>Keski-Uudenmaan hyvinvointialue (Keusote)</t>
        </is>
      </c>
      <c r="B15" t="inlineStr">
        <is>
          <t>HVA</t>
        </is>
      </c>
      <c r="C15" t="inlineStr">
        <is>
          <t>3221346-5</t>
        </is>
      </c>
      <c r="D15" t="inlineStr">
        <is>
          <t>kirjaamo@keusote.fi</t>
        </is>
      </c>
      <c r="E15" s="2">
        <v>540.0</v>
      </c>
      <c r="F15" t="inlineStr">
        <is>
          <t>EI (Vaadi JulkL 13 § tietopyynnöllä)</t>
        </is>
      </c>
      <c r="G15" t="inlineStr">
        <is>
          <t>2M-IT Oy, Numera/Sarastia, Tiera Oy</t>
        </is>
      </c>
    </row>
    <row r="16">
      <c r="A16" t="inlineStr">
        <is>
          <t>Kanta-Hämeen hyvinvointialue (Oma Häme)</t>
        </is>
      </c>
      <c r="B16" t="inlineStr">
        <is>
          <t>HVA</t>
        </is>
      </c>
      <c r="C16" t="inlineStr">
        <is>
          <t>3221307-8</t>
        </is>
      </c>
      <c r="D16" t="inlineStr">
        <is>
          <t>kirjaamo@omahame.fi</t>
        </is>
      </c>
      <c r="E16" s="2">
        <v>495.0</v>
      </c>
      <c r="F16" t="inlineStr">
        <is>
          <t>EI (Vaadi JulkL 13 § tietopyynnöllä)</t>
        </is>
      </c>
      <c r="G16" t="inlineStr">
        <is>
          <t>2M-IT Oy, Numera/Sarastia, Fimlab Oy</t>
        </is>
      </c>
    </row>
    <row r="17">
      <c r="A17" t="inlineStr">
        <is>
          <t>Etelä-Pohjanmaan hyvinvointialue (Hyvaep)</t>
        </is>
      </c>
      <c r="B17" t="inlineStr">
        <is>
          <t>HVA</t>
        </is>
      </c>
      <c r="C17" t="inlineStr">
        <is>
          <t>3221323-8</t>
        </is>
      </c>
      <c r="D17" t="inlineStr">
        <is>
          <t>kirjaamo@hyvaep.fi</t>
        </is>
      </c>
      <c r="E17" s="2">
        <v>490.0</v>
      </c>
      <c r="F17" t="inlineStr">
        <is>
          <t>EI (Vaadi JulkL 13 § tietopyynnöllä)</t>
        </is>
      </c>
      <c r="G17" t="inlineStr">
        <is>
          <t>2M-IT Oy, Istekki Oy, Numera/Sarastia</t>
        </is>
      </c>
    </row>
    <row r="18">
      <c r="A18" t="inlineStr">
        <is>
          <t>Kymenlaakson hyvinvointialue (Kymenhva)</t>
        </is>
      </c>
      <c r="B18" t="inlineStr">
        <is>
          <t>HVA</t>
        </is>
      </c>
      <c r="C18" t="inlineStr">
        <is>
          <t>3221311-5</t>
        </is>
      </c>
      <c r="D18" t="inlineStr">
        <is>
          <t>kirjaamo@kymenhva.fi</t>
        </is>
      </c>
      <c r="E18" s="2">
        <v>480.0</v>
      </c>
      <c r="F18" t="inlineStr">
        <is>
          <t>EI (Vaadi JulkL 13 § tietopyynnöllä)</t>
        </is>
      </c>
      <c r="G18" t="inlineStr">
        <is>
          <t>2M-IT Oy, Meita Oy, Numera/Sarastia</t>
        </is>
      </c>
    </row>
    <row r="19">
      <c r="A19" t="inlineStr">
        <is>
          <t>Pohjois-Karjalan hyvinvointialue (Siun sote)</t>
        </is>
      </c>
      <c r="B19" t="inlineStr">
        <is>
          <t>HVA</t>
        </is>
      </c>
      <c r="C19" t="inlineStr">
        <is>
          <t>3221317-4</t>
        </is>
      </c>
      <c r="D19" t="inlineStr">
        <is>
          <t>kirjaamo@siunsote.fi</t>
        </is>
      </c>
      <c r="E19" s="2">
        <v>460.0</v>
      </c>
      <c r="F19" t="inlineStr">
        <is>
          <t>EI (Vaadi JulkL 13 § tietopyynnöllä)</t>
        </is>
      </c>
      <c r="G19" t="inlineStr">
        <is>
          <t>Istekki Oy, Polkka Oy, ISLAB</t>
        </is>
      </c>
    </row>
    <row r="20">
      <c r="A20" t="inlineStr">
        <is>
          <t>Pohjanmaan hyvinvointialue (Österbotten)</t>
        </is>
      </c>
      <c r="B20" t="inlineStr">
        <is>
          <t>HVA</t>
        </is>
      </c>
      <c r="C20" t="inlineStr">
        <is>
          <t>3221324-6</t>
        </is>
      </c>
      <c r="D20" t="inlineStr">
        <is>
          <t>kirjaamo@ovph.fi</t>
        </is>
      </c>
      <c r="E20" s="2">
        <v>440.0</v>
      </c>
      <c r="F20" t="inlineStr">
        <is>
          <t>EI (Vaadi JulkL 13 § tietopyynnöllä)</t>
        </is>
      </c>
      <c r="G20" t="inlineStr">
        <is>
          <t>2M-IT Oy, Fimlab Oy, Numera/Sarastia</t>
        </is>
      </c>
    </row>
    <row r="21">
      <c r="A21" t="inlineStr">
        <is>
          <t>Etelä-Savon hyvinvointialue (Eloisa)</t>
        </is>
      </c>
      <c r="B21" t="inlineStr">
        <is>
          <t>HVA</t>
        </is>
      </c>
      <c r="C21" t="inlineStr">
        <is>
          <t>3221315-8</t>
        </is>
      </c>
      <c r="D21" t="inlineStr">
        <is>
          <t>kirjaamo@etelasavonha.fi</t>
        </is>
      </c>
      <c r="E21" s="2">
        <v>410.0</v>
      </c>
      <c r="F21" t="inlineStr">
        <is>
          <t>EI (Vaadi JulkL 13 § tietopyynnöllä)</t>
        </is>
      </c>
      <c r="G21" t="inlineStr">
        <is>
          <t>Istekki Oy, Meita Oy, ISLAB</t>
        </is>
      </c>
    </row>
    <row r="22">
      <c r="A22" t="inlineStr">
        <is>
          <t>Etelä-Karjalan hyvinvointialue (Ekhva)</t>
        </is>
      </c>
      <c r="B22" t="inlineStr">
        <is>
          <t>HVA</t>
        </is>
      </c>
      <c r="C22" t="inlineStr">
        <is>
          <t>3221313-1</t>
        </is>
      </c>
      <c r="D22" t="inlineStr">
        <is>
          <t>kirjaamo@ekhva.fi</t>
        </is>
      </c>
      <c r="E22" s="2">
        <v>385.0</v>
      </c>
      <c r="F22" t="inlineStr">
        <is>
          <t>EI (Vaadi JulkL 13 § tietopyynnöllä)</t>
        </is>
      </c>
      <c r="G22" t="inlineStr">
        <is>
          <t>Meita Oy, 2M-IT Oy, Numera/Sarastia</t>
        </is>
      </c>
    </row>
    <row r="23">
      <c r="A23" t="inlineStr">
        <is>
          <t>Itä-Uudenmaan hyvinvointialue (Itä-Uusimaa)</t>
        </is>
      </c>
      <c r="B23" t="inlineStr">
        <is>
          <t>HVA</t>
        </is>
      </c>
      <c r="C23" t="inlineStr">
        <is>
          <t>3221339-3</t>
        </is>
      </c>
      <c r="D23" t="inlineStr">
        <is>
          <t>kirjaamo@itauusimaa.fi</t>
        </is>
      </c>
      <c r="E23" s="2">
        <v>275.0</v>
      </c>
      <c r="F23" t="inlineStr">
        <is>
          <t>EI (Vaadi JulkL 13 § tietopyynnöllä)</t>
        </is>
      </c>
      <c r="G23" t="inlineStr">
        <is>
          <t>2M-IT Oy, Numera/Sarastia, Tiera Oy</t>
        </is>
      </c>
    </row>
    <row r="24">
      <c r="A24" t="inlineStr">
        <is>
          <t>Kainuun hyvinvointialue (Kainuu)</t>
        </is>
      </c>
      <c r="B24" t="inlineStr">
        <is>
          <t>HVA</t>
        </is>
      </c>
      <c r="C24" t="inlineStr">
        <is>
          <t>3221331-8</t>
        </is>
      </c>
      <c r="D24" t="inlineStr">
        <is>
          <t>kirjaamo@kainuu.fi</t>
        </is>
      </c>
      <c r="E24" s="2">
        <v>250.0</v>
      </c>
      <c r="F24" t="inlineStr">
        <is>
          <t>EI (Vaadi JulkL 13 § tietopyynnöllä)</t>
        </is>
      </c>
      <c r="G24" t="inlineStr">
        <is>
          <t>Istekki Oy, Monetra Oy, Tiera Oy</t>
        </is>
      </c>
    </row>
    <row r="25">
      <c r="A25" t="inlineStr">
        <is>
          <t>Keski-Pohjanmaan hyvinvointialue (Soite)</t>
        </is>
      </c>
      <c r="B25" t="inlineStr">
        <is>
          <t>HVA</t>
        </is>
      </c>
      <c r="C25" t="inlineStr">
        <is>
          <t>3221325-4</t>
        </is>
      </c>
      <c r="D25" t="inlineStr">
        <is>
          <t>kirjaamo@soite.fi</t>
        </is>
      </c>
      <c r="E25" s="2">
        <v>235.0</v>
      </c>
      <c r="F25" t="inlineStr">
        <is>
          <t>EI (Vaadi JulkL 13 § tietopyynnöllä)</t>
        </is>
      </c>
      <c r="G25" t="inlineStr">
        <is>
          <t>2M-IT Oy, Tiera Oy</t>
        </is>
      </c>
    </row>
    <row r="26">
      <c r="A26" t="inlineStr">
        <is>
          <t>Helsingin kaupunki</t>
        </is>
      </c>
      <c r="B26" t="inlineStr">
        <is>
          <t>Kunta</t>
        </is>
      </c>
      <c r="C26" t="inlineStr">
        <is>
          <t>0201256-6</t>
        </is>
      </c>
      <c r="D26" t="inlineStr">
        <is>
          <t>helsinki.kirjaamo@hel.fi</t>
        </is>
      </c>
      <c r="E26" s="2">
        <v>2450.0</v>
      </c>
      <c r="F26" t="inlineStr">
        <is>
          <t>KYLLÄ</t>
        </is>
      </c>
      <c r="G26" t="inlineStr">
        <is>
          <t>Oy Apotti Ab, Tiera Oy</t>
        </is>
      </c>
    </row>
    <row r="27">
      <c r="A27" t="inlineStr">
        <is>
          <t>Espoon kaupunki</t>
        </is>
      </c>
      <c r="B27" t="inlineStr">
        <is>
          <t>Kunta</t>
        </is>
      </c>
      <c r="C27" t="inlineStr">
        <is>
          <t>0101263-6</t>
        </is>
      </c>
      <c r="D27" t="inlineStr">
        <is>
          <t>kirjaamo@espoo.fi</t>
        </is>
      </c>
      <c r="E27" s="2">
        <v>1120.0</v>
      </c>
      <c r="F27" t="inlineStr">
        <is>
          <t>KYLLÄ</t>
        </is>
      </c>
      <c r="G27" t="inlineStr">
        <is>
          <t>Tiera Oy, Numera/Sarastia</t>
        </is>
      </c>
    </row>
    <row r="28">
      <c r="A28" t="inlineStr">
        <is>
          <t>Tampereen kaupunki</t>
        </is>
      </c>
      <c r="B28" t="inlineStr">
        <is>
          <t>Kunta</t>
        </is>
      </c>
      <c r="C28" t="inlineStr">
        <is>
          <t>0211675-2</t>
        </is>
      </c>
      <c r="D28" t="inlineStr">
        <is>
          <t>kirjaamo@tampere.fi</t>
        </is>
      </c>
      <c r="E28" s="2">
        <v>980.0</v>
      </c>
      <c r="F28" t="inlineStr">
        <is>
          <t>KYLLÄ</t>
        </is>
      </c>
      <c r="G28" t="inlineStr">
        <is>
          <t>Monetra Pirkanmaa, Istekki Oy, Tuomi Logistiikka Oy</t>
        </is>
      </c>
    </row>
    <row r="29">
      <c r="A29" t="inlineStr">
        <is>
          <t>Vantaan kaupunki</t>
        </is>
      </c>
      <c r="B29" t="inlineStr">
        <is>
          <t>Kunta</t>
        </is>
      </c>
      <c r="C29" t="inlineStr">
        <is>
          <t>0124610-9</t>
        </is>
      </c>
      <c r="D29" t="inlineStr">
        <is>
          <t>kirjaamo@vantaa.fi</t>
        </is>
      </c>
      <c r="E29" s="2">
        <v>890.0</v>
      </c>
      <c r="F29" t="inlineStr">
        <is>
          <t>KYLLÄ</t>
        </is>
      </c>
      <c r="G29" t="inlineStr">
        <is>
          <t>Tiera Oy, Numera/Sarastia</t>
        </is>
      </c>
    </row>
    <row r="30">
      <c r="A30" t="inlineStr">
        <is>
          <t>Oulun kaupunki</t>
        </is>
      </c>
      <c r="B30" t="inlineStr">
        <is>
          <t>Kunta</t>
        </is>
      </c>
      <c r="C30" t="inlineStr">
        <is>
          <t>0187690-1</t>
        </is>
      </c>
      <c r="D30" t="inlineStr">
        <is>
          <t>kirjaamo@ouka.fi</t>
        </is>
      </c>
      <c r="E30" s="2">
        <v>740.0</v>
      </c>
      <c r="F30" t="inlineStr">
        <is>
          <t>KYLLÄ</t>
        </is>
      </c>
      <c r="G30" t="inlineStr">
        <is>
          <t>Monetra Oulu Oy, Istekki Oy, Tiera Oy</t>
        </is>
      </c>
    </row>
    <row r="31">
      <c r="A31" t="inlineStr">
        <is>
          <t>Turun kaupunki</t>
        </is>
      </c>
      <c r="B31" t="inlineStr">
        <is>
          <t>Kunta</t>
        </is>
      </c>
      <c r="C31" t="inlineStr">
        <is>
          <t>0204819-8</t>
        </is>
      </c>
      <c r="D31" t="inlineStr">
        <is>
          <t>kirjaamo@turku.fi</t>
        </is>
      </c>
      <c r="E31" s="2">
        <v>720.0</v>
      </c>
      <c r="F31" t="inlineStr">
        <is>
          <t>KYLLÄ</t>
        </is>
      </c>
      <c r="G31" t="inlineStr">
        <is>
          <t>Kaarea Oy, Tiera Oy, Numera/Sarastia</t>
        </is>
      </c>
    </row>
    <row r="32">
      <c r="A32" t="inlineStr">
        <is>
          <t>Jyväskylän kaupunki</t>
        </is>
      </c>
      <c r="B32" t="inlineStr">
        <is>
          <t>Kunta</t>
        </is>
      </c>
      <c r="C32" t="inlineStr">
        <is>
          <t>0174666-4</t>
        </is>
      </c>
      <c r="D32" t="inlineStr">
        <is>
          <t>kirjaamo@jyvaskyla.fi</t>
        </is>
      </c>
      <c r="E32" s="2">
        <v>480.0</v>
      </c>
      <c r="F32" t="inlineStr">
        <is>
          <t>KYLLÄ</t>
        </is>
      </c>
      <c r="G32" t="inlineStr">
        <is>
          <t>Monetra Keski-Suomi Oy, Istekki Oy, Tiera Oy</t>
        </is>
      </c>
    </row>
    <row r="33">
      <c r="A33" t="inlineStr">
        <is>
          <t>Kuopion kaupunki</t>
        </is>
      </c>
      <c r="B33" t="inlineStr">
        <is>
          <t>Kunta</t>
        </is>
      </c>
      <c r="C33" t="inlineStr">
        <is>
          <t>0171450-7</t>
        </is>
      </c>
      <c r="D33" t="inlineStr">
        <is>
          <t>kirjaamo@kuopio.fi</t>
        </is>
      </c>
      <c r="E33" s="2">
        <v>430.0</v>
      </c>
      <c r="F33" t="inlineStr">
        <is>
          <t>KYLLÄ</t>
        </is>
      </c>
      <c r="G33" t="inlineStr">
        <is>
          <t>Istekki Oy, Sansia Oy, Monetra Pohjois-Savo</t>
        </is>
      </c>
    </row>
    <row r="34">
      <c r="A34" t="inlineStr">
        <is>
          <t>Lahden kaupunki</t>
        </is>
      </c>
      <c r="B34" t="inlineStr">
        <is>
          <t>Kunta</t>
        </is>
      </c>
      <c r="C34" t="inlineStr">
        <is>
          <t>0149669-3</t>
        </is>
      </c>
      <c r="D34" t="inlineStr">
        <is>
          <t>kirjaamo@lahti.fi</t>
        </is>
      </c>
      <c r="E34" s="2">
        <v>410.0</v>
      </c>
      <c r="F34" t="inlineStr">
        <is>
          <t>KYLLÄ</t>
        </is>
      </c>
      <c r="G34" t="inlineStr">
        <is>
          <t>Tiera Oy, Numera/Sarastia</t>
        </is>
      </c>
    </row>
    <row r="35">
      <c r="A35" t="inlineStr">
        <is>
          <t>Porin kaupunki</t>
        </is>
      </c>
      <c r="B35" t="inlineStr">
        <is>
          <t>Kunta</t>
        </is>
      </c>
      <c r="C35" t="inlineStr">
        <is>
          <t>0137323-9</t>
        </is>
      </c>
      <c r="D35" t="inlineStr">
        <is>
          <t>kirjaamo@pori.fi</t>
        </is>
      </c>
      <c r="E35" s="2">
        <v>310.0</v>
      </c>
      <c r="F35" t="inlineStr">
        <is>
          <t>EI (Vaadi JulkL 13 § tietopyynnöllä)</t>
        </is>
      </c>
      <c r="G35" t="inlineStr">
        <is>
          <t>Numera/Sarastia, Tiera Oy</t>
        </is>
      </c>
    </row>
    <row r="36">
      <c r="A36" t="inlineStr">
        <is>
          <t>Kouvolan kaupunki</t>
        </is>
      </c>
      <c r="B36" t="inlineStr">
        <is>
          <t>Kunta</t>
        </is>
      </c>
      <c r="C36" t="inlineStr">
        <is>
          <t>0161075-9</t>
        </is>
      </c>
      <c r="D36" t="inlineStr">
        <is>
          <t>kirjaamo@kouvola.fi</t>
        </is>
      </c>
      <c r="E36" s="2">
        <v>295.0</v>
      </c>
      <c r="F36" t="inlineStr">
        <is>
          <t>EI (Vaadi JulkL 13 § tietopyynnöllä)</t>
        </is>
      </c>
      <c r="G36" t="inlineStr">
        <is>
          <t>Meita Oy, Tiera Oy, Numera/Sarastia</t>
        </is>
      </c>
    </row>
    <row r="37">
      <c r="A37" t="inlineStr">
        <is>
          <t>Joensuun kaupunki</t>
        </is>
      </c>
      <c r="B37" t="inlineStr">
        <is>
          <t>Kunta</t>
        </is>
      </c>
      <c r="C37" t="inlineStr">
        <is>
          <t>0242746-2</t>
        </is>
      </c>
      <c r="D37" t="inlineStr">
        <is>
          <t>kirjaamo@joensuu.fi</t>
        </is>
      </c>
      <c r="E37" s="2">
        <v>270.0</v>
      </c>
      <c r="F37" t="inlineStr">
        <is>
          <t>EI (Vaadi JulkL 13 § tietopyynnöllä)</t>
        </is>
      </c>
      <c r="G37" t="inlineStr">
        <is>
          <t>Polkka Oy, Tiera Oy, Meita Oy</t>
        </is>
      </c>
    </row>
    <row r="38">
      <c r="A38" t="inlineStr">
        <is>
          <t>Lappeenrannan kaupunki</t>
        </is>
      </c>
      <c r="B38" t="inlineStr">
        <is>
          <t>Kunta</t>
        </is>
      </c>
      <c r="C38" t="inlineStr">
        <is>
          <t>0162193-3</t>
        </is>
      </c>
      <c r="D38" t="inlineStr">
        <is>
          <t>kirjaamo@lappeenranta.fi</t>
        </is>
      </c>
      <c r="E38" s="2">
        <v>265.0</v>
      </c>
      <c r="F38" t="inlineStr">
        <is>
          <t>EI (Vaadi JulkL 13 § tietopyynnöllä)</t>
        </is>
      </c>
      <c r="G38" t="inlineStr">
        <is>
          <t>Meita Oy, Tiera Oy</t>
        </is>
      </c>
    </row>
    <row r="39">
      <c r="A39" t="inlineStr">
        <is>
          <t>Hämeenlinnan kaupunki</t>
        </is>
      </c>
      <c r="B39" t="inlineStr">
        <is>
          <t>Kunta</t>
        </is>
      </c>
      <c r="C39" t="inlineStr">
        <is>
          <t>0146921-4</t>
        </is>
      </c>
      <c r="D39" t="inlineStr">
        <is>
          <t>hameenlinnan.kaupunki@hameenlinna.fi</t>
        </is>
      </c>
      <c r="E39" s="2">
        <v>245.0</v>
      </c>
      <c r="F39" t="inlineStr">
        <is>
          <t>KYLLÄ</t>
        </is>
      </c>
      <c r="G39" t="inlineStr">
        <is>
          <t>Numera/Sarastia, Tiera Oy</t>
        </is>
      </c>
    </row>
    <row r="40">
      <c r="A40" t="inlineStr">
        <is>
          <t>Vaasan kaupunki</t>
        </is>
      </c>
      <c r="B40" t="inlineStr">
        <is>
          <t>Kunta</t>
        </is>
      </c>
      <c r="C40" t="inlineStr">
        <is>
          <t>0209602-6</t>
        </is>
      </c>
      <c r="D40" t="inlineStr">
        <is>
          <t>kirjaamo@vaasa.fi</t>
        </is>
      </c>
      <c r="E40" s="2">
        <v>240.0</v>
      </c>
      <c r="F40" t="inlineStr">
        <is>
          <t>EI (Vaadi JulkL 13 § tietopyynnöllä)</t>
        </is>
      </c>
      <c r="G40" t="inlineStr">
        <is>
          <t>Tiera Oy, Numera/Sarastia</t>
        </is>
      </c>
    </row>
    <row r="41">
      <c r="A41" t="inlineStr">
        <is>
          <t>Seinäjoen kaupunki</t>
        </is>
      </c>
      <c r="B41" t="inlineStr">
        <is>
          <t>Kunta</t>
        </is>
      </c>
      <c r="C41" t="inlineStr">
        <is>
          <t>1928736-3</t>
        </is>
      </c>
      <c r="D41" t="inlineStr">
        <is>
          <t>kirjaamo@seinajoki.fi</t>
        </is>
      </c>
      <c r="E41" s="2">
        <v>225.0</v>
      </c>
      <c r="F41" t="inlineStr">
        <is>
          <t>EI (Vaadi JulkL 13 § tietopyynnöllä)</t>
        </is>
      </c>
      <c r="G41" t="inlineStr">
        <is>
          <t>Tiera Oy, Istekki Oy</t>
        </is>
      </c>
    </row>
    <row r="42">
      <c r="A42" t="inlineStr">
        <is>
          <t>Rovaniemen kaupunki</t>
        </is>
      </c>
      <c r="B42" t="inlineStr">
        <is>
          <t>Kunta</t>
        </is>
      </c>
      <c r="C42" t="inlineStr">
        <is>
          <t>1978283-1</t>
        </is>
      </c>
      <c r="D42" t="inlineStr">
        <is>
          <t>kirjaamo@rovaniemi.fi</t>
        </is>
      </c>
      <c r="E42" s="2">
        <v>215.0</v>
      </c>
      <c r="F42" t="inlineStr">
        <is>
          <t>EI (Vaadi JulkL 13 § tietopyynnöllä)</t>
        </is>
      </c>
      <c r="G42" t="inlineStr">
        <is>
          <t>Tiera Oy, Numera/Sarastia</t>
        </is>
      </c>
    </row>
    <row r="43">
      <c r="A43" t="inlineStr">
        <is>
          <t>Mikkelin kaupunki</t>
        </is>
      </c>
      <c r="B43" t="inlineStr">
        <is>
          <t>Kunta</t>
        </is>
      </c>
      <c r="C43" t="inlineStr">
        <is>
          <t>0165116-3</t>
        </is>
      </c>
      <c r="D43" t="inlineStr">
        <is>
          <t>kirjaamo@mikkeli.fi</t>
        </is>
      </c>
      <c r="E43" s="2">
        <v>195.0</v>
      </c>
      <c r="F43" t="inlineStr">
        <is>
          <t>EI (Vaadi JulkL 13 § tietopyynnöllä)</t>
        </is>
      </c>
      <c r="G43" t="inlineStr">
        <is>
          <t>Meita Oy, Tiera Oy, Istekki Oy</t>
        </is>
      </c>
    </row>
    <row r="44">
      <c r="A44" t="inlineStr">
        <is>
          <t>Kotkan kaupunki</t>
        </is>
      </c>
      <c r="B44" t="inlineStr">
        <is>
          <t>Kunta</t>
        </is>
      </c>
      <c r="C44" t="inlineStr">
        <is>
          <t>0161077-5</t>
        </is>
      </c>
      <c r="D44" t="inlineStr">
        <is>
          <t>kirjaamo@kotka.fi</t>
        </is>
      </c>
      <c r="E44" s="2">
        <v>190.0</v>
      </c>
      <c r="F44" t="inlineStr">
        <is>
          <t>EI (Vaadi JulkL 13 § tietopyynnöllä)</t>
        </is>
      </c>
      <c r="G44" t="inlineStr">
        <is>
          <t>Meita Oy, Tiera Oy</t>
        </is>
      </c>
    </row>
    <row r="45">
      <c r="A45" t="inlineStr">
        <is>
          <t>Salon kaupunki</t>
        </is>
      </c>
      <c r="B45" t="inlineStr">
        <is>
          <t>Kunta</t>
        </is>
      </c>
      <c r="C45" t="inlineStr">
        <is>
          <t>0139533-1</t>
        </is>
      </c>
      <c r="D45" t="inlineStr">
        <is>
          <t>kirjaamo@salo.fi</t>
        </is>
      </c>
      <c r="E45" s="2">
        <v>175.0</v>
      </c>
      <c r="F45" t="inlineStr">
        <is>
          <t>EI (Vaadi JulkL 13 § tietopyynnöllä)</t>
        </is>
      </c>
      <c r="G45" t="inlineStr">
        <is>
          <t>Tiera Oy, Numera/Sarastia</t>
        </is>
      </c>
    </row>
    <row r="46">
      <c r="A46" t="inlineStr">
        <is>
          <t>Porvoon kaupunki</t>
        </is>
      </c>
      <c r="B46" t="inlineStr">
        <is>
          <t>Kunta</t>
        </is>
      </c>
      <c r="C46" t="inlineStr">
        <is>
          <t>1061512-1</t>
        </is>
      </c>
      <c r="D46" t="inlineStr">
        <is>
          <t>kirjaamo@porvoo.fi</t>
        </is>
      </c>
      <c r="E46" s="2">
        <v>170.0</v>
      </c>
      <c r="F46" t="inlineStr">
        <is>
          <t>EI (Vaadi JulkL 13 § tietopyynnöllä)</t>
        </is>
      </c>
      <c r="G46" t="inlineStr">
        <is>
          <t>Tiera Oy, Numera/Sarastia</t>
        </is>
      </c>
    </row>
    <row r="47">
      <c r="A47" t="inlineStr">
        <is>
          <t>YHTEENSÄ (43 JULKISTA HANKINTAYKSIKKÖÄ)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s="2">
        <f>SUM(E4:E46)</f>
        <v>25505.0</v>
      </c>
      <c r="F47" t="inlineStr">
        <is>
          <t/>
        </is>
      </c>
      <c r="G47" t="inlineStr">
        <is>
          <t/>
        </is>
      </c>
    </row>
  </sheetData>
</worksheet>
</file>