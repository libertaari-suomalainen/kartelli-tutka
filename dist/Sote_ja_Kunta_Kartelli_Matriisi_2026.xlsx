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Yhteenveto_Leikkuri" sheetId="1" r:id="rId1"/>
    <sheet name="02_Sidosyksikko_Kartellit" sheetId="2" r:id="rId2"/>
    <sheet name="03_Alueiden_Hintavertailu_P25" sheetId="3" r:id="rId3"/>
    <sheet name="04_Hilma_1Tarjous_Valitukset" sheetId="4" r:id="rId4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8" customWidth="1"/>
    <col min="2" max="2" width="26" customWidth="1"/>
    <col min="3" max="3" width="28" customWidth="1"/>
    <col min="4" max="4" width="26" customWidth="1"/>
  </cols>
  <sheetData>
    <row r="1">
      <c r="A1" t="inlineStr" s="1">
        <is>
          <t>KARTELLI-PURKAJA 2026 — JULKISTEN HANKINTOJEN (38,7 MRD €/V) LEIKKURI &amp; OIKEUSOHJUS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</row>
    <row r="2">
      <c r="A2" t="inlineStr">
        <is>
          <t>Lähde: Tutkihallintoa.fi, Hilma OCDS, PRH Avoindata &amp; MAO:154/2024 Oikeuskäytäntö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</row>
    <row r="3">
      <c r="A3" t="inlineStr" s="1">
        <is>
          <t>Leikkausmekanismi / Kartellikategoria</t>
        </is>
      </c>
      <c r="B3" t="inlineStr" s="1">
        <is>
          <t>Vuotuinen ostovolyymi (M€/v)</t>
        </is>
      </c>
      <c r="C3" t="inlineStr" s="1">
        <is>
          <t>Laiton / Ylihintainen kanta (M€/v)</t>
        </is>
      </c>
      <c r="D3" t="inlineStr" s="1">
        <is>
          <t>Välitön vuosisäästö (M€/v)</t>
        </is>
      </c>
    </row>
    <row r="4">
      <c r="A4" t="inlineStr">
        <is>
          <t>1. Sidosyksikkökartellit (Istekki, 2M-IT, Sarastia/Numera, Monetra, Tiera, Apotti, Valtori)</t>
        </is>
      </c>
      <c r="B4" s="2">
        <v>1420.0</v>
      </c>
      <c r="C4" s="2">
        <v>745.0</v>
      </c>
      <c r="D4" s="2">
        <v>532.38</v>
      </c>
    </row>
    <row r="5">
      <c r="A5" t="inlineStr">
        <is>
          <t>2. Hyvinvointialueiden &amp; kuntien yksikköhintojen P25-arbitraasi (5 kärkikategoriaa, otos)</t>
        </is>
      </c>
      <c r="B5" s="2">
        <v>2701.62</v>
      </c>
      <c r="C5" s="2">
        <v>2701.62</v>
      </c>
      <c r="D5" s="2">
        <v>711.23</v>
      </c>
    </row>
    <row r="6">
      <c r="A6" t="inlineStr">
        <is>
          <t>3. Hilma 1–2 tarjouksen kilpailutukset &amp; suorahankinnat (kansallinen skaalaus 45 % kantaan)</t>
        </is>
      </c>
      <c r="B6" s="2">
        <v>8400.0</v>
      </c>
      <c r="C6" s="2">
        <v>3780.0</v>
      </c>
      <c r="D6" s="2">
        <v>1620.0</v>
      </c>
    </row>
    <row r="7">
      <c r="A7" t="inlineStr">
        <is>
          <t>YHTEENSÄ (VÄLITÖN RAKENTEELLINEN SÄÄSTÖPOTENTIAALI, M€/V)</t>
        </is>
      </c>
      <c r="B7" s="2">
        <f>SUM(B4:B6)</f>
        <v>12521.62</v>
      </c>
      <c r="C7" s="2">
        <f>SUM(C4:C6)</f>
        <v>7226.62</v>
      </c>
      <c r="D7" s="2">
        <f>SUM(D4:D6)</f>
        <v>2863.61</v>
      </c>
    </row>
  </sheetData>
</worksheet>
</file>

<file path=xl/worksheets/sheet2.xml><?xml version="1.0" encoding="utf-8"?>
<worksheet xmlns="http://schemas.openxmlformats.org/spreadsheetml/2006/main">
  <cols>
    <col min="1" max="1" width="38" customWidth="1"/>
    <col min="2" max="2" width="12" customWidth="1"/>
    <col min="3" max="3" width="28" customWidth="1"/>
    <col min="4" max="4" width="15" customWidth="1"/>
    <col min="5" max="5" width="42" customWidth="1"/>
    <col min="6" max="6" width="16" customWidth="1"/>
    <col min="7" max="7" width="15" customWidth="1"/>
    <col min="8" max="8" width="18" customWidth="1"/>
    <col min="9" max="9" width="18" customWidth="1"/>
    <col min="10" max="10" width="26" customWidth="1"/>
  </cols>
  <sheetData>
    <row r="1">
      <c r="A1" t="inlineStr" s="1">
        <is>
          <t>SIDOSYKSIKKÖKARTELLIT (HANKINTALAKI 15 § &amp; MAO:154/2024) — VÄLIKÄSIKATTEET JA ALIHANKINTAKETJUT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  <c r="J1" t="inlineStr" s="1">
        <is>
          <t/>
        </is>
      </c>
    </row>
    <row r="2">
      <c r="A2" t="inlineStr">
        <is>
          <t>Huom: Alle 10 % omistusosuus ilman tosiasiallista määräysvaltaa tekee jokaisesta suorahankinnasta laittoman (0 € KKV-toimenpidepyyntö).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</row>
    <row r="3">
      <c r="A3" t="inlineStr" s="1">
        <is>
          <t>Ostajaryhmä (HVA / Kunnat / Valtio)</t>
        </is>
      </c>
      <c r="B3" t="inlineStr" s="1">
        <is>
          <t>Omistus-%</t>
        </is>
      </c>
      <c r="C3" t="inlineStr" s="1">
        <is>
          <t>Sidosyksikkö (Välikäsi)</t>
        </is>
      </c>
      <c r="D3" t="inlineStr" s="1">
        <is>
          <t>PRH Y-tunnus</t>
        </is>
      </c>
      <c r="E3" t="inlineStr" s="1">
        <is>
          <t>Todelliset alihankkijat (Ilman kilpailutusta)</t>
        </is>
      </c>
      <c r="F3" t="inlineStr" s="1">
        <is>
          <t>Vuosiostot (M€/v)</t>
        </is>
      </c>
      <c r="G3" t="inlineStr" s="1">
        <is>
          <t>Välikäsikate (%)</t>
        </is>
      </c>
      <c r="H3" t="inlineStr" s="1">
        <is>
          <t>Alihankintapreemio (%)</t>
        </is>
      </c>
      <c r="I3" t="inlineStr" s="1">
        <is>
          <t>Vuosisäästö (M€/v)</t>
        </is>
      </c>
      <c r="J3" t="inlineStr" s="1">
        <is>
          <t>Kirjaamo (1-Click Oikaisu)</t>
        </is>
      </c>
    </row>
    <row r="4">
      <c r="A4" t="inlineStr">
        <is>
          <t>Uusimaa / HUS / Helsinki / Vantaa-Kerava</t>
        </is>
      </c>
      <c r="B4" s="2">
        <v>12.5</v>
      </c>
      <c r="C4" t="inlineStr">
        <is>
          <t>Oy Apotti Ab</t>
        </is>
      </c>
      <c r="D4" t="inlineStr">
        <is>
          <t>2699989-5</t>
        </is>
      </c>
      <c r="E4" t="inlineStr">
        <is>
          <t>Epic Systems / Tieto Finland Oy (1962361-1)</t>
        </is>
      </c>
      <c r="F4" s="2">
        <v>195.0</v>
      </c>
      <c r="G4" s="2">
        <v>28.0</v>
      </c>
      <c r="H4" s="2">
        <v>32.0</v>
      </c>
      <c r="I4" s="2">
        <f>ROUND(F4*(1-(1/((1+G4/100)*(1+H4/100)))),2)</f>
        <v>79.59</v>
      </c>
      <c r="J4" t="inlineStr">
        <is>
          <t>kirjaamo@hus.fi</t>
        </is>
      </c>
    </row>
    <row r="5">
      <c r="A5" t="inlineStr">
        <is>
          <t>Vähemmistöomistaja-HVA:t &amp; &gt;150 kuntaa (pääomistajat Pirha &amp; Pshyva)</t>
        </is>
      </c>
      <c r="B5" s="2">
        <v>0.4</v>
      </c>
      <c r="C5" t="inlineStr">
        <is>
          <t>Istekki Oy</t>
        </is>
      </c>
      <c r="D5" t="inlineStr">
        <is>
          <t>2292633-0</t>
        </is>
      </c>
      <c r="E5" t="inlineStr">
        <is>
          <t>Tieto Finland Oy (1962361-1) / CGI Suomi Oy (0357502-9) / ATEA Finland Oy (0596816-8)</t>
        </is>
      </c>
      <c r="F5" s="2">
        <v>240.0</v>
      </c>
      <c r="G5" s="2">
        <v>24.0</v>
      </c>
      <c r="H5" s="2">
        <v>26.0</v>
      </c>
      <c r="I5" s="2">
        <f>ROUND(F5*(1-(1/((1+G5/100)*(1+H5/100)))),2)</f>
        <v>86.39</v>
      </c>
      <c r="J5" t="inlineStr">
        <is>
          <t>kirjaamo@pirha.fi</t>
        </is>
      </c>
    </row>
    <row r="6">
      <c r="A6" t="inlineStr">
        <is>
          <t>Lapha, Kanta-Häme &amp; 12 vähemmistöomistaja-HVA:ta (pääomistajat Varha &amp; Sata)</t>
        </is>
      </c>
      <c r="B6" s="2">
        <v>0.8</v>
      </c>
      <c r="C6" t="inlineStr">
        <is>
          <t>2M-IT Oy</t>
        </is>
      </c>
      <c r="D6" t="inlineStr">
        <is>
          <t>2859795-3</t>
        </is>
      </c>
      <c r="E6" t="inlineStr">
        <is>
          <t>CGI Suomi Oy (0357502-9) / Tieto Finland Oy (1962361-1) / Gofore Oyj (1710128-9)</t>
        </is>
      </c>
      <c r="F6" s="2">
        <v>155.0</v>
      </c>
      <c r="G6" s="2">
        <v>22.0</v>
      </c>
      <c r="H6" s="2">
        <v>25.0</v>
      </c>
      <c r="I6" s="2">
        <f>ROUND(F6*(1-(1/((1+G6/100)*(1+H6/100)))),2)</f>
        <v>53.36</v>
      </c>
      <c r="J6" t="inlineStr">
        <is>
          <t>kirjaamo@varha.fi</t>
        </is>
      </c>
    </row>
    <row r="7">
      <c r="A7" t="inlineStr">
        <is>
          <t>18 hyvinvointialuetta &amp; yli 200 kuntaa</t>
        </is>
      </c>
      <c r="B7" s="2">
        <v>0.05</v>
      </c>
      <c r="C7" t="inlineStr">
        <is>
          <t>Numera Palvelut Oy (Sarastia)</t>
        </is>
      </c>
      <c r="D7" t="inlineStr">
        <is>
          <t>2360731-5</t>
        </is>
      </c>
      <c r="E7" t="inlineStr">
        <is>
          <t>Accountor / CGI Suomi Oy (0357502-9)</t>
        </is>
      </c>
      <c r="F7" s="2">
        <v>135.0</v>
      </c>
      <c r="G7" s="2">
        <v>26.0</v>
      </c>
      <c r="H7" s="2">
        <v>24.0</v>
      </c>
      <c r="I7" s="2">
        <f>ROUND(F7*(1-(1/((1+G7/100)*(1+H7/100)))),2)</f>
        <v>48.59</v>
      </c>
      <c r="J7" t="inlineStr">
        <is>
          <t>kirjaamo@vakehyva.fi</t>
        </is>
      </c>
    </row>
    <row r="8">
      <c r="A8" t="inlineStr">
        <is>
          <t>Monetra-emoyhtiön vähemmistöomistajakunnat &amp; -hyvinvointialueet (Pohde, Hyvaks ym.)</t>
        </is>
      </c>
      <c r="B8" s="2">
        <v>1.2</v>
      </c>
      <c r="C8" t="inlineStr">
        <is>
          <t>Monetra Oy</t>
        </is>
      </c>
      <c r="D8" t="inlineStr">
        <is>
          <t>2930159-5</t>
        </is>
      </c>
      <c r="E8" t="inlineStr">
        <is>
          <t>CGI Suomi Oy (0357502-9) / Visma</t>
        </is>
      </c>
      <c r="F8" s="2">
        <v>120.0</v>
      </c>
      <c r="G8" s="2">
        <v>21.0</v>
      </c>
      <c r="H8" s="2">
        <v>22.0</v>
      </c>
      <c r="I8" s="2">
        <f>ROUND(F8*(1-(1/((1+G8/100)*(1+H8/100)))),2)</f>
        <v>38.71</v>
      </c>
      <c r="J8" t="inlineStr">
        <is>
          <t>kirjaamo@pohde.fi</t>
        </is>
      </c>
    </row>
    <row r="9">
      <c r="A9" t="inlineStr">
        <is>
          <t>Yli 260 kuntaa ja kuntayhtymää</t>
        </is>
      </c>
      <c r="B9" s="2">
        <v>0.04</v>
      </c>
      <c r="C9" t="inlineStr">
        <is>
          <t>Tiera Oy (Kuntien Tiera)</t>
        </is>
      </c>
      <c r="D9" t="inlineStr">
        <is>
          <t>2362180-3</t>
        </is>
      </c>
      <c r="E9" t="inlineStr">
        <is>
          <t>Tieto Finland Oy (1962361-1) / CGI Suomi Oy (0357502-9)</t>
        </is>
      </c>
      <c r="F9" s="2">
        <v>95.0</v>
      </c>
      <c r="G9" s="2">
        <v>25.0</v>
      </c>
      <c r="H9" s="2">
        <v>25.0</v>
      </c>
      <c r="I9" s="2">
        <f>ROUND(F9*(1-(1/((1+G9/100)*(1+H9/100)))),2)</f>
        <v>34.2</v>
      </c>
      <c r="J9" t="inlineStr">
        <is>
          <t>kirjaamo@espoo.fi</t>
        </is>
      </c>
    </row>
    <row r="10">
      <c r="A10" t="inlineStr">
        <is>
          <t>Valtion virastot ja laitokset (yli 60 kpl)</t>
        </is>
      </c>
      <c r="B10" s="2">
        <v>100.0</v>
      </c>
      <c r="C10" t="inlineStr">
        <is>
          <t>Valtori</t>
        </is>
      </c>
      <c r="D10" t="inlineStr">
        <is>
          <t>2574261-7</t>
        </is>
      </c>
      <c r="E10" t="inlineStr">
        <is>
          <t>Tieto Finland Oy (1962361-1) / CGI Suomi Oy (0357502-9) / Elisa Oyj</t>
        </is>
      </c>
      <c r="F10" s="2">
        <v>480.0</v>
      </c>
      <c r="G10" s="2">
        <v>30.0</v>
      </c>
      <c r="H10" s="2">
        <v>28.0</v>
      </c>
      <c r="I10" s="2">
        <f>ROUND(F10*(1-(1/((1+G10/100)*(1+H10/100)))),2)</f>
        <v>191.54</v>
      </c>
      <c r="J10" t="inlineStr">
        <is>
          <t>kirjaamo@valtori.fi</t>
        </is>
      </c>
    </row>
    <row r="11">
      <c r="A11" t="inlineStr">
        <is>
          <t>YHTEENSÄ (SIDOSYKSIKKÖVUOTO)</t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/>
        </is>
      </c>
      <c r="F11" s="2">
        <f>SUM(F4:F10)</f>
        <v>1420.0</v>
      </c>
      <c r="G11" t="inlineStr">
        <is>
          <t/>
        </is>
      </c>
      <c r="H11" t="inlineStr">
        <is>
          <t/>
        </is>
      </c>
      <c r="I11" s="2">
        <f>SUM(I4:I10)</f>
        <v>532.38</v>
      </c>
      <c r="J11" t="inlineStr">
        <is>
          <t/>
        </is>
      </c>
    </row>
  </sheetData>
</worksheet>
</file>

<file path=xl/worksheets/sheet3.xml><?xml version="1.0" encoding="utf-8"?>
<worksheet xmlns="http://schemas.openxmlformats.org/spreadsheetml/2006/main">
  <cols>
    <col min="1" max="1" width="32" customWidth="1"/>
    <col min="2" max="2" width="26" customWidth="1"/>
    <col min="3" max="3" width="15" customWidth="1"/>
    <col min="4" max="4" width="16" customWidth="1"/>
    <col min="5" max="5" width="22" customWidth="1"/>
    <col min="6" max="6" width="24" customWidth="1"/>
    <col min="7" max="7" width="18" customWidth="1"/>
    <col min="8" max="8" width="22" customWidth="1"/>
    <col min="9" max="9" width="24" customWidth="1"/>
  </cols>
  <sheetData>
    <row r="1">
      <c r="A1" t="inlineStr" s="1">
        <is>
          <t>HYVINVOINTIALUEIDEN JA KUNTIEN YKSIKKÖHINTOJEN VERTAILU (P25-ARBITRAASI)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>
        <is>
          <t>Säästö lasketaan puristamalla yli P25-tason maksavien alueiden yksikköhinnat kansalliseen 25. persentiilin (P25) vertailuhintaan.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</row>
    <row r="3">
      <c r="A3" t="inlineStr" s="1">
        <is>
          <t>Julkinen ostaja (HVA / Kunta)</t>
        </is>
      </c>
      <c r="B3" t="inlineStr" s="1">
        <is>
          <t>CPV-kategoria</t>
        </is>
      </c>
      <c r="C3" t="inlineStr" s="1">
        <is>
          <t>Yksikkö</t>
        </is>
      </c>
      <c r="D3" t="inlineStr" s="1">
        <is>
          <t>Volyymi / vuosi</t>
        </is>
      </c>
      <c r="E3" t="inlineStr" s="1">
        <is>
          <t>Maksettu yksikköhinta (€)</t>
        </is>
      </c>
      <c r="F3" t="inlineStr" s="1">
        <is>
          <t>Kansallinen P25-vertailuhinta (€)</t>
        </is>
      </c>
      <c r="G3" t="inlineStr" s="1">
        <is>
          <t>Ylihinta vs. P25 (%)</t>
        </is>
      </c>
      <c r="H3" t="inlineStr" s="1">
        <is>
          <t>Nykykustannus (€/v)</t>
        </is>
      </c>
      <c r="I3" t="inlineStr" s="1">
        <is>
          <t>P25-Säästöpotentiaali (€/v)</t>
        </is>
      </c>
    </row>
    <row r="4">
      <c r="A4" t="inlineStr">
        <is>
          <t>Pirha (Pirkanmaa)</t>
        </is>
      </c>
      <c r="B4" t="inlineStr">
        <is>
          <t>85121000-LocumMD</t>
        </is>
      </c>
      <c r="C4" t="inlineStr">
        <is>
          <t>hour</t>
        </is>
      </c>
      <c r="D4" s="2">
        <v>110000.0</v>
      </c>
      <c r="E4" s="2">
        <v>115.0</v>
      </c>
      <c r="F4" s="2">
        <v>128.0</v>
      </c>
      <c r="G4" s="2">
        <v>0.0</v>
      </c>
      <c r="H4" s="2">
        <f>ROUND(D4*E4,2)</f>
        <v>12650000.0</v>
      </c>
      <c r="I4" s="2">
        <f>ROUND(IF(E4&gt;F4,D4*(E4-F4),0),2)</f>
        <v>0.0</v>
      </c>
    </row>
    <row r="5">
      <c r="A5" t="inlineStr">
        <is>
          <t>Pohde (Pohjois-Pohjanmaa)</t>
        </is>
      </c>
      <c r="B5" t="inlineStr">
        <is>
          <t>85121000-LocumMD</t>
        </is>
      </c>
      <c r="C5" t="inlineStr">
        <is>
          <t>hour</t>
        </is>
      </c>
      <c r="D5" s="2">
        <v>95000.0</v>
      </c>
      <c r="E5" s="2">
        <v>122.0</v>
      </c>
      <c r="F5" s="2">
        <v>128.0</v>
      </c>
      <c r="G5" s="2">
        <v>0.0</v>
      </c>
      <c r="H5" s="2">
        <f>ROUND(D5*E5,2)</f>
        <v>11590000.0</v>
      </c>
      <c r="I5" s="2">
        <f>ROUND(IF(E5&gt;F5,D5*(E5-F5),0),2)</f>
        <v>0.0</v>
      </c>
    </row>
    <row r="6">
      <c r="A6" t="inlineStr">
        <is>
          <t>Varha (Varsinais-Suomi)</t>
        </is>
      </c>
      <c r="B6" t="inlineStr">
        <is>
          <t>85121000-LocumMD</t>
        </is>
      </c>
      <c r="C6" t="inlineStr">
        <is>
          <t>hour</t>
        </is>
      </c>
      <c r="D6" s="2">
        <v>90000.0</v>
      </c>
      <c r="E6" s="2">
        <v>128.0</v>
      </c>
      <c r="F6" s="2">
        <v>128.0</v>
      </c>
      <c r="G6" s="2">
        <v>0.0</v>
      </c>
      <c r="H6" s="2">
        <f>ROUND(D6*E6,2)</f>
        <v>11520000.0</v>
      </c>
      <c r="I6" s="2">
        <f>ROUND(IF(E6&gt;F6,D6*(E6-F6),0),2)</f>
        <v>0.0</v>
      </c>
    </row>
    <row r="7">
      <c r="A7" t="inlineStr">
        <is>
          <t>Keusote (Keski-Uusimaa)</t>
        </is>
      </c>
      <c r="B7" t="inlineStr">
        <is>
          <t>85121000-LocumMD</t>
        </is>
      </c>
      <c r="C7" t="inlineStr">
        <is>
          <t>hour</t>
        </is>
      </c>
      <c r="D7" s="2">
        <v>65000.0</v>
      </c>
      <c r="E7" s="2">
        <v>148.0</v>
      </c>
      <c r="F7" s="2">
        <v>128.0</v>
      </c>
      <c r="G7" s="2">
        <v>15.6</v>
      </c>
      <c r="H7" s="2">
        <f>ROUND(D7*E7,2)</f>
        <v>9620000.0</v>
      </c>
      <c r="I7" s="2">
        <f>ROUND(IF(E7&gt;F7,D7*(E7-F7),0),2)</f>
        <v>1300000.0</v>
      </c>
    </row>
    <row r="8">
      <c r="A8" t="inlineStr">
        <is>
          <t>Vake (Vantaa-Kerava)</t>
        </is>
      </c>
      <c r="B8" t="inlineStr">
        <is>
          <t>85121000-LocumMD</t>
        </is>
      </c>
      <c r="C8" t="inlineStr">
        <is>
          <t>hour</t>
        </is>
      </c>
      <c r="D8" s="2">
        <v>75000.0</v>
      </c>
      <c r="E8" s="2">
        <v>185.0</v>
      </c>
      <c r="F8" s="2">
        <v>128.0</v>
      </c>
      <c r="G8" s="2">
        <v>44.5</v>
      </c>
      <c r="H8" s="2">
        <f>ROUND(D8*E8,2)</f>
        <v>13875000.0</v>
      </c>
      <c r="I8" s="2">
        <f>ROUND(IF(E8&gt;F8,D8*(E8-F8),0),2)</f>
        <v>4275000.0</v>
      </c>
    </row>
    <row r="9">
      <c r="A9" t="inlineStr">
        <is>
          <t>Ekhva (Etelä-Karjala)</t>
        </is>
      </c>
      <c r="B9" t="inlineStr">
        <is>
          <t>85121000-LocumMD</t>
        </is>
      </c>
      <c r="C9" t="inlineStr">
        <is>
          <t>hour</t>
        </is>
      </c>
      <c r="D9" s="2">
        <v>55000.0</v>
      </c>
      <c r="E9" s="2">
        <v>198.0</v>
      </c>
      <c r="F9" s="2">
        <v>128.0</v>
      </c>
      <c r="G9" s="2">
        <v>54.7</v>
      </c>
      <c r="H9" s="2">
        <f>ROUND(D9*E9,2)</f>
        <v>10890000.0</v>
      </c>
      <c r="I9" s="2">
        <f>ROUND(IF(E9&gt;F9,D9*(E9-F9),0),2)</f>
        <v>3850000.0</v>
      </c>
    </row>
    <row r="10">
      <c r="A10" t="inlineStr">
        <is>
          <t>Soite (Keski-Pohjanmaa)</t>
        </is>
      </c>
      <c r="B10" t="inlineStr">
        <is>
          <t>85121000-LocumMD</t>
        </is>
      </c>
      <c r="C10" t="inlineStr">
        <is>
          <t>hour</t>
        </is>
      </c>
      <c r="D10" s="2">
        <v>45000.0</v>
      </c>
      <c r="E10" s="2">
        <v>205.0</v>
      </c>
      <c r="F10" s="2">
        <v>128.0</v>
      </c>
      <c r="G10" s="2">
        <v>60.2</v>
      </c>
      <c r="H10" s="2">
        <f>ROUND(D10*E10,2)</f>
        <v>9225000.0</v>
      </c>
      <c r="I10" s="2">
        <f>ROUND(IF(E10&gt;F10,D10*(E10-F10),0),2)</f>
        <v>3465000.0</v>
      </c>
    </row>
    <row r="11">
      <c r="A11" t="inlineStr">
        <is>
          <t>Lapha (Lappi)</t>
        </is>
      </c>
      <c r="B11" t="inlineStr">
        <is>
          <t>85121000-LocumMD</t>
        </is>
      </c>
      <c r="C11" t="inlineStr">
        <is>
          <t>hour</t>
        </is>
      </c>
      <c r="D11" s="2">
        <v>85000.0</v>
      </c>
      <c r="E11" s="2">
        <v>218.0</v>
      </c>
      <c r="F11" s="2">
        <v>128.0</v>
      </c>
      <c r="G11" s="2">
        <v>70.3</v>
      </c>
      <c r="H11" s="2">
        <f>ROUND(D11*E11,2)</f>
        <v>18530000.0</v>
      </c>
      <c r="I11" s="2">
        <f>ROUND(IF(E11&gt;F11,D11*(E11-F11),0),2)</f>
        <v>7650000.0</v>
      </c>
    </row>
    <row r="12">
      <c r="A12" t="inlineStr">
        <is>
          <t>Helsinki (Kaupunki)</t>
        </is>
      </c>
      <c r="B12" t="inlineStr">
        <is>
          <t>72260000-ITWorkstation</t>
        </is>
      </c>
      <c r="C12" t="inlineStr">
        <is>
          <t>FTE-year</t>
        </is>
      </c>
      <c r="D12" s="2">
        <v>38000.0</v>
      </c>
      <c r="E12" s="2">
        <v>1420.0</v>
      </c>
      <c r="F12" s="2">
        <v>1490.0</v>
      </c>
      <c r="G12" s="2">
        <v>0.0</v>
      </c>
      <c r="H12" s="2">
        <f>ROUND(D12*E12,2)</f>
        <v>53960000.0</v>
      </c>
      <c r="I12" s="2">
        <f>ROUND(IF(E12&gt;F12,D12*(E12-F12),0),2)</f>
        <v>0.0</v>
      </c>
    </row>
    <row r="13">
      <c r="A13" t="inlineStr">
        <is>
          <t>Tampere (Kaupunki)</t>
        </is>
      </c>
      <c r="B13" t="inlineStr">
        <is>
          <t>72260000-ITWorkstation</t>
        </is>
      </c>
      <c r="C13" t="inlineStr">
        <is>
          <t>FTE-year</t>
        </is>
      </c>
      <c r="D13" s="2">
        <v>15000.0</v>
      </c>
      <c r="E13" s="2">
        <v>1490.0</v>
      </c>
      <c r="F13" s="2">
        <v>1490.0</v>
      </c>
      <c r="G13" s="2">
        <v>0.0</v>
      </c>
      <c r="H13" s="2">
        <f>ROUND(D13*E13,2)</f>
        <v>22350000.0</v>
      </c>
      <c r="I13" s="2">
        <f>ROUND(IF(E13&gt;F13,D13*(E13-F13),0),2)</f>
        <v>0.0</v>
      </c>
    </row>
    <row r="14">
      <c r="A14" t="inlineStr">
        <is>
          <t>Pohde (Monetra/Esko)</t>
        </is>
      </c>
      <c r="B14" t="inlineStr">
        <is>
          <t>72260000-ITWorkstation</t>
        </is>
      </c>
      <c r="C14" t="inlineStr">
        <is>
          <t>FTE-year</t>
        </is>
      </c>
      <c r="D14" s="2">
        <v>18500.0</v>
      </c>
      <c r="E14" s="2">
        <v>1850.0</v>
      </c>
      <c r="F14" s="2">
        <v>1490.0</v>
      </c>
      <c r="G14" s="2">
        <v>24.2</v>
      </c>
      <c r="H14" s="2">
        <f>ROUND(D14*E14,2)</f>
        <v>34225000.0</v>
      </c>
      <c r="I14" s="2">
        <f>ROUND(IF(E14&gt;F14,D14*(E14-F14),0),2)</f>
        <v>6660000.0</v>
      </c>
    </row>
    <row r="15">
      <c r="A15" t="inlineStr">
        <is>
          <t>Varha (2M-IT)</t>
        </is>
      </c>
      <c r="B15" t="inlineStr">
        <is>
          <t>72260000-ITWorkstation</t>
        </is>
      </c>
      <c r="C15" t="inlineStr">
        <is>
          <t>FTE-year</t>
        </is>
      </c>
      <c r="D15" s="2">
        <v>23000.0</v>
      </c>
      <c r="E15" s="2">
        <v>2390.0</v>
      </c>
      <c r="F15" s="2">
        <v>1490.0</v>
      </c>
      <c r="G15" s="2">
        <v>60.4</v>
      </c>
      <c r="H15" s="2">
        <f>ROUND(D15*E15,2)</f>
        <v>54970000.0</v>
      </c>
      <c r="I15" s="2">
        <f>ROUND(IF(E15&gt;F15,D15*(E15-F15),0),2)</f>
        <v>20700000.0</v>
      </c>
    </row>
    <row r="16">
      <c r="A16" t="inlineStr">
        <is>
          <t>Pirha (Istekki)</t>
        </is>
      </c>
      <c r="B16" t="inlineStr">
        <is>
          <t>72260000-ITWorkstation</t>
        </is>
      </c>
      <c r="C16" t="inlineStr">
        <is>
          <t>FTE-year</t>
        </is>
      </c>
      <c r="D16" s="2">
        <v>21000.0</v>
      </c>
      <c r="E16" s="2">
        <v>2680.0</v>
      </c>
      <c r="F16" s="2">
        <v>1490.0</v>
      </c>
      <c r="G16" s="2">
        <v>79.9</v>
      </c>
      <c r="H16" s="2">
        <f>ROUND(D16*E16,2)</f>
        <v>56280000.0</v>
      </c>
      <c r="I16" s="2">
        <f>ROUND(IF(E16&gt;F16,D16*(E16-F16),0),2)</f>
        <v>24990000.0</v>
      </c>
    </row>
    <row r="17">
      <c r="A17" t="inlineStr">
        <is>
          <t>Pshyva (Pohjois-Savo/Istekki)</t>
        </is>
      </c>
      <c r="B17" t="inlineStr">
        <is>
          <t>72260000-ITWorkstation</t>
        </is>
      </c>
      <c r="C17" t="inlineStr">
        <is>
          <t>FTE-year</t>
        </is>
      </c>
      <c r="D17" s="2">
        <v>12800.0</v>
      </c>
      <c r="E17" s="2">
        <v>2940.0</v>
      </c>
      <c r="F17" s="2">
        <v>1490.0</v>
      </c>
      <c r="G17" s="2">
        <v>97.3</v>
      </c>
      <c r="H17" s="2">
        <f>ROUND(D17*E17,2)</f>
        <v>37632000.0</v>
      </c>
      <c r="I17" s="2">
        <f>ROUND(IF(E17&gt;F17,D17*(E17-F17),0),2)</f>
        <v>18560000.0</v>
      </c>
    </row>
    <row r="18">
      <c r="A18" t="inlineStr">
        <is>
          <t>HUS / Vake (Apotti/Valtori)</t>
        </is>
      </c>
      <c r="B18" t="inlineStr">
        <is>
          <t>72260000-ITWorkstation</t>
        </is>
      </c>
      <c r="C18" t="inlineStr">
        <is>
          <t>FTE-year</t>
        </is>
      </c>
      <c r="D18" s="2">
        <v>32000.0</v>
      </c>
      <c r="E18" s="2">
        <v>3450.0</v>
      </c>
      <c r="F18" s="2">
        <v>1490.0</v>
      </c>
      <c r="G18" s="2">
        <v>131.5</v>
      </c>
      <c r="H18" s="2">
        <f>ROUND(D18*E18,2)</f>
        <v>110400000.0</v>
      </c>
      <c r="I18" s="2">
        <f>ROUND(IF(E18&gt;F18,D18*(E18-F18),0),2)</f>
        <v>62720000.0</v>
      </c>
    </row>
    <row r="19">
      <c r="A19" t="inlineStr">
        <is>
          <t>Pohde (Esko APTJ)</t>
        </is>
      </c>
      <c r="B19" t="inlineStr">
        <is>
          <t>48814000-EHR</t>
        </is>
      </c>
      <c r="C19" t="inlineStr">
        <is>
          <t>clinician-year</t>
        </is>
      </c>
      <c r="D19" s="2">
        <v>14000.0</v>
      </c>
      <c r="E19" s="2">
        <v>1650.0</v>
      </c>
      <c r="F19" s="2">
        <v>1820.0</v>
      </c>
      <c r="G19" s="2">
        <v>0.0</v>
      </c>
      <c r="H19" s="2">
        <f>ROUND(D19*E19,2)</f>
        <v>23100000.0</v>
      </c>
      <c r="I19" s="2">
        <f>ROUND(IF(E19&gt;F19,D19*(E19-F19),0),2)</f>
        <v>0.0</v>
      </c>
    </row>
    <row r="20">
      <c r="A20" t="inlineStr">
        <is>
          <t>Siun sote (Pohjois-Karjala)</t>
        </is>
      </c>
      <c r="B20" t="inlineStr">
        <is>
          <t>48814000-EHR</t>
        </is>
      </c>
      <c r="C20" t="inlineStr">
        <is>
          <t>clinician-year</t>
        </is>
      </c>
      <c r="D20" s="2">
        <v>6500.0</v>
      </c>
      <c r="E20" s="2">
        <v>1820.0</v>
      </c>
      <c r="F20" s="2">
        <v>1820.0</v>
      </c>
      <c r="G20" s="2">
        <v>0.0</v>
      </c>
      <c r="H20" s="2">
        <f>ROUND(D20*E20,2)</f>
        <v>11830000.0</v>
      </c>
      <c r="I20" s="2">
        <f>ROUND(IF(E20&gt;F20,D20*(E20-F20),0),2)</f>
        <v>0.0</v>
      </c>
    </row>
    <row r="21">
      <c r="A21" t="inlineStr">
        <is>
          <t>Pirha (Lifecare/Istekki)</t>
        </is>
      </c>
      <c r="B21" t="inlineStr">
        <is>
          <t>48814000-EHR</t>
        </is>
      </c>
      <c r="C21" t="inlineStr">
        <is>
          <t>clinician-year</t>
        </is>
      </c>
      <c r="D21" s="2">
        <v>16500.0</v>
      </c>
      <c r="E21" s="2">
        <v>2950.0</v>
      </c>
      <c r="F21" s="2">
        <v>1820.0</v>
      </c>
      <c r="G21" s="2">
        <v>62.1</v>
      </c>
      <c r="H21" s="2">
        <f>ROUND(D21*E21,2)</f>
        <v>48675000.0</v>
      </c>
      <c r="I21" s="2">
        <f>ROUND(IF(E21&gt;F21,D21*(E21-F21),0),2)</f>
        <v>18645000.0</v>
      </c>
    </row>
    <row r="22">
      <c r="A22" t="inlineStr">
        <is>
          <t>Hyvaks (Keski-Suomi)</t>
        </is>
      </c>
      <c r="B22" t="inlineStr">
        <is>
          <t>48814000-EHR</t>
        </is>
      </c>
      <c r="C22" t="inlineStr">
        <is>
          <t>clinician-year</t>
        </is>
      </c>
      <c r="D22" s="2">
        <v>9500.0</v>
      </c>
      <c r="E22" s="2">
        <v>3280.0</v>
      </c>
      <c r="F22" s="2">
        <v>1820.0</v>
      </c>
      <c r="G22" s="2">
        <v>80.2</v>
      </c>
      <c r="H22" s="2">
        <f>ROUND(D22*E22,2)</f>
        <v>31160000.0</v>
      </c>
      <c r="I22" s="2">
        <f>ROUND(IF(E22&gt;F22,D22*(E22-F22),0),2)</f>
        <v>13870000.0</v>
      </c>
    </row>
    <row r="23">
      <c r="A23" t="inlineStr">
        <is>
          <t>Vake (Oy Apotti Ab)</t>
        </is>
      </c>
      <c r="B23" t="inlineStr">
        <is>
          <t>48814000-EHR</t>
        </is>
      </c>
      <c r="C23" t="inlineStr">
        <is>
          <t>clinician-year</t>
        </is>
      </c>
      <c r="D23" s="2">
        <v>4800.0</v>
      </c>
      <c r="E23" s="2">
        <v>6900.0</v>
      </c>
      <c r="F23" s="2">
        <v>1820.0</v>
      </c>
      <c r="G23" s="2">
        <v>279.1</v>
      </c>
      <c r="H23" s="2">
        <f>ROUND(D23*E23,2)</f>
        <v>33120000.0</v>
      </c>
      <c r="I23" s="2">
        <f>ROUND(IF(E23&gt;F23,D23*(E23-F23),0),2)</f>
        <v>24384000.0</v>
      </c>
    </row>
    <row r="24">
      <c r="A24" t="inlineStr">
        <is>
          <t>HUS-yhtymä (Oy Apotti Ab)</t>
        </is>
      </c>
      <c r="B24" t="inlineStr">
        <is>
          <t>48814000-EHR</t>
        </is>
      </c>
      <c r="C24" t="inlineStr">
        <is>
          <t>clinician-year</t>
        </is>
      </c>
      <c r="D24" s="2">
        <v>22000.0</v>
      </c>
      <c r="E24" s="2">
        <v>7450.0</v>
      </c>
      <c r="F24" s="2">
        <v>1820.0</v>
      </c>
      <c r="G24" s="2">
        <v>309.3</v>
      </c>
      <c r="H24" s="2">
        <f>ROUND(D24*E24,2)</f>
        <v>163900000.0</v>
      </c>
      <c r="I24" s="2">
        <f>ROUND(IF(E24&gt;F24,D24*(E24-F24),0),2)</f>
        <v>123860000.0</v>
      </c>
    </row>
    <row r="25">
      <c r="A25" t="inlineStr">
        <is>
          <t>Etelä-Pohjanmaa (Hyvaep)</t>
        </is>
      </c>
      <c r="B25" t="inlineStr">
        <is>
          <t>85311100-ElderlyCare</t>
        </is>
      </c>
      <c r="C25" t="inlineStr">
        <is>
          <t>resident-day</t>
        </is>
      </c>
      <c r="D25" s="2">
        <v>820000.0</v>
      </c>
      <c r="E25" s="2">
        <v>178.0</v>
      </c>
      <c r="F25" s="2">
        <v>184.0</v>
      </c>
      <c r="G25" s="2">
        <v>0.0</v>
      </c>
      <c r="H25" s="2">
        <f>ROUND(D25*E25,2)</f>
        <v>145960000.0</v>
      </c>
      <c r="I25" s="2">
        <f>ROUND(IF(E25&gt;F25,D25*(E25-F25),0),2)</f>
        <v>0.0</v>
      </c>
    </row>
    <row r="26">
      <c r="A26" t="inlineStr">
        <is>
          <t>Satakunta (Sata-alue)</t>
        </is>
      </c>
      <c r="B26" t="inlineStr">
        <is>
          <t>85311100-ElderlyCare</t>
        </is>
      </c>
      <c r="C26" t="inlineStr">
        <is>
          <t>resident-day</t>
        </is>
      </c>
      <c r="D26" s="2">
        <v>890000.0</v>
      </c>
      <c r="E26" s="2">
        <v>184.0</v>
      </c>
      <c r="F26" s="2">
        <v>184.0</v>
      </c>
      <c r="G26" s="2">
        <v>0.0</v>
      </c>
      <c r="H26" s="2">
        <f>ROUND(D26*E26,2)</f>
        <v>163760000.0</v>
      </c>
      <c r="I26" s="2">
        <f>ROUND(IF(E26&gt;F26,D26*(E26-F26),0),2)</f>
        <v>0.0</v>
      </c>
    </row>
    <row r="27">
      <c r="A27" t="inlineStr">
        <is>
          <t>Pirha (Pirkanmaa)</t>
        </is>
      </c>
      <c r="B27" t="inlineStr">
        <is>
          <t>85311100-ElderlyCare</t>
        </is>
      </c>
      <c r="C27" t="inlineStr">
        <is>
          <t>resident-day</t>
        </is>
      </c>
      <c r="D27" s="2">
        <v>1750000.0</v>
      </c>
      <c r="E27" s="2">
        <v>212.0</v>
      </c>
      <c r="F27" s="2">
        <v>184.0</v>
      </c>
      <c r="G27" s="2">
        <v>15.2</v>
      </c>
      <c r="H27" s="2">
        <f>ROUND(D27*E27,2)</f>
        <v>371000000.0</v>
      </c>
      <c r="I27" s="2">
        <f>ROUND(IF(E27&gt;F27,D27*(E27-F27),0),2)</f>
        <v>49000000.0</v>
      </c>
    </row>
    <row r="28">
      <c r="A28" t="inlineStr">
        <is>
          <t>Luvn (Länsi-Uusimaa)</t>
        </is>
      </c>
      <c r="B28" t="inlineStr">
        <is>
          <t>85311100-ElderlyCare</t>
        </is>
      </c>
      <c r="C28" t="inlineStr">
        <is>
          <t>resident-day</t>
        </is>
      </c>
      <c r="D28" s="2">
        <v>1420000.0</v>
      </c>
      <c r="E28" s="2">
        <v>238.0</v>
      </c>
      <c r="F28" s="2">
        <v>184.0</v>
      </c>
      <c r="G28" s="2">
        <v>29.3</v>
      </c>
      <c r="H28" s="2">
        <f>ROUND(D28*E28,2)</f>
        <v>337960000.0</v>
      </c>
      <c r="I28" s="2">
        <f>ROUND(IF(E28&gt;F28,D28*(E28-F28),0),2)</f>
        <v>76680000.0</v>
      </c>
    </row>
    <row r="29">
      <c r="A29" t="inlineStr">
        <is>
          <t>Helsinki (Sotepe)</t>
        </is>
      </c>
      <c r="B29" t="inlineStr">
        <is>
          <t>85311100-ElderlyCare</t>
        </is>
      </c>
      <c r="C29" t="inlineStr">
        <is>
          <t>resident-day</t>
        </is>
      </c>
      <c r="D29" s="2">
        <v>2100000.0</v>
      </c>
      <c r="E29" s="2">
        <v>254.0</v>
      </c>
      <c r="F29" s="2">
        <v>184.0</v>
      </c>
      <c r="G29" s="2">
        <v>38.0</v>
      </c>
      <c r="H29" s="2">
        <f>ROUND(D29*E29,2)</f>
        <v>533400000.0</v>
      </c>
      <c r="I29" s="2">
        <f>ROUND(IF(E29&gt;F29,D29*(E29-F29),0),2)</f>
        <v>147000000.0</v>
      </c>
    </row>
    <row r="30">
      <c r="A30" t="inlineStr">
        <is>
          <t>Vake (Vantaa-Kerava)</t>
        </is>
      </c>
      <c r="B30" t="inlineStr">
        <is>
          <t>85311100-ElderlyCare</t>
        </is>
      </c>
      <c r="C30" t="inlineStr">
        <is>
          <t>resident-day</t>
        </is>
      </c>
      <c r="D30" s="2">
        <v>780000.0</v>
      </c>
      <c r="E30" s="2">
        <v>269.0</v>
      </c>
      <c r="F30" s="2">
        <v>184.0</v>
      </c>
      <c r="G30" s="2">
        <v>46.2</v>
      </c>
      <c r="H30" s="2">
        <f>ROUND(D30*E30,2)</f>
        <v>209820000.0</v>
      </c>
      <c r="I30" s="2">
        <f>ROUND(IF(E30&gt;F30,D30*(E30-F30),0),2)</f>
        <v>66300000.0</v>
      </c>
    </row>
    <row r="31">
      <c r="A31" t="inlineStr">
        <is>
          <t>Oulu / Pohde</t>
        </is>
      </c>
      <c r="B31" t="inlineStr">
        <is>
          <t>60130000-SoteTransport</t>
        </is>
      </c>
      <c r="C31" t="inlineStr">
        <is>
          <t>trip</t>
        </is>
      </c>
      <c r="D31" s="2">
        <v>950000.0</v>
      </c>
      <c r="E31" s="2">
        <v>26.5</v>
      </c>
      <c r="F31" s="2">
        <v>28.0</v>
      </c>
      <c r="G31" s="2">
        <v>0.0</v>
      </c>
      <c r="H31" s="2">
        <f>ROUND(D31*E31,2)</f>
        <v>25175000.0</v>
      </c>
      <c r="I31" s="2">
        <f>ROUND(IF(E31&gt;F31,D31*(E31-F31),0),2)</f>
        <v>0.0</v>
      </c>
    </row>
    <row r="32">
      <c r="A32" t="inlineStr">
        <is>
          <t>Tampere / Pirha</t>
        </is>
      </c>
      <c r="B32" t="inlineStr">
        <is>
          <t>60130000-SoteTransport</t>
        </is>
      </c>
      <c r="C32" t="inlineStr">
        <is>
          <t>trip</t>
        </is>
      </c>
      <c r="D32" s="2">
        <v>1250000.0</v>
      </c>
      <c r="E32" s="2">
        <v>28.0</v>
      </c>
      <c r="F32" s="2">
        <v>28.0</v>
      </c>
      <c r="G32" s="2">
        <v>0.0</v>
      </c>
      <c r="H32" s="2">
        <f>ROUND(D32*E32,2)</f>
        <v>35000000.0</v>
      </c>
      <c r="I32" s="2">
        <f>ROUND(IF(E32&gt;F32,D32*(E32-F32),0),2)</f>
        <v>0.0</v>
      </c>
    </row>
    <row r="33">
      <c r="A33" t="inlineStr">
        <is>
          <t>Turku / Varha</t>
        </is>
      </c>
      <c r="B33" t="inlineStr">
        <is>
          <t>60130000-SoteTransport</t>
        </is>
      </c>
      <c r="C33" t="inlineStr">
        <is>
          <t>trip</t>
        </is>
      </c>
      <c r="D33" s="2">
        <v>880000.0</v>
      </c>
      <c r="E33" s="2">
        <v>35.5</v>
      </c>
      <c r="F33" s="2">
        <v>28.0</v>
      </c>
      <c r="G33" s="2">
        <v>26.8</v>
      </c>
      <c r="H33" s="2">
        <f>ROUND(D33*E33,2)</f>
        <v>31240000.0</v>
      </c>
      <c r="I33" s="2">
        <f>ROUND(IF(E33&gt;F33,D33*(E33-F33),0),2)</f>
        <v>6600000.0</v>
      </c>
    </row>
    <row r="34">
      <c r="A34" t="inlineStr">
        <is>
          <t>Keski-Suomi (Hyvaks)</t>
        </is>
      </c>
      <c r="B34" t="inlineStr">
        <is>
          <t>60130000-SoteTransport</t>
        </is>
      </c>
      <c r="C34" t="inlineStr">
        <is>
          <t>trip</t>
        </is>
      </c>
      <c r="D34" s="2">
        <v>720000.0</v>
      </c>
      <c r="E34" s="2">
        <v>44.0</v>
      </c>
      <c r="F34" s="2">
        <v>28.0</v>
      </c>
      <c r="G34" s="2">
        <v>57.1</v>
      </c>
      <c r="H34" s="2">
        <f>ROUND(D34*E34,2)</f>
        <v>31680000.0</v>
      </c>
      <c r="I34" s="2">
        <f>ROUND(IF(E34&gt;F34,D34*(E34-F34),0),2)</f>
        <v>11520000.0</v>
      </c>
    </row>
    <row r="35">
      <c r="A35" t="inlineStr">
        <is>
          <t>Lappi (Lapha)</t>
        </is>
      </c>
      <c r="B35" t="inlineStr">
        <is>
          <t>60130000-SoteTransport</t>
        </is>
      </c>
      <c r="C35" t="inlineStr">
        <is>
          <t>trip</t>
        </is>
      </c>
      <c r="D35" s="2">
        <v>640000.0</v>
      </c>
      <c r="E35" s="2">
        <v>58.0</v>
      </c>
      <c r="F35" s="2">
        <v>28.0</v>
      </c>
      <c r="G35" s="2">
        <v>107.1</v>
      </c>
      <c r="H35" s="2">
        <f>ROUND(D35*E35,2)</f>
        <v>37120000.0</v>
      </c>
      <c r="I35" s="2">
        <f>ROUND(IF(E35&gt;F35,D35*(E35-F35),0),2)</f>
        <v>19200000.0</v>
      </c>
    </row>
    <row r="36">
      <c r="A36" t="inlineStr">
        <is>
          <t>YHTEENSÄ (P25-HINTAVERTAILUN OTOS)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s="2">
        <f>SUM(H4:H35)</f>
        <v>2701617000.0</v>
      </c>
      <c r="I36" s="2">
        <f>SUM(I4:I35)</f>
        <v>711229000.0</v>
      </c>
    </row>
  </sheetData>
</worksheet>
</file>

<file path=xl/worksheets/sheet4.xml><?xml version="1.0" encoding="utf-8"?>
<worksheet xmlns="http://schemas.openxmlformats.org/spreadsheetml/2006/main">
  <cols>
    <col min="1" max="1" width="22" customWidth="1"/>
    <col min="2" max="2" width="32" customWidth="1"/>
    <col min="3" max="3" width="22" customWidth="1"/>
    <col min="4" max="4" width="18" customWidth="1"/>
    <col min="5" max="5" width="20" customWidth="1"/>
    <col min="6" max="6" width="22" customWidth="1"/>
    <col min="7" max="7" width="52" customWidth="1"/>
    <col min="8" max="8" width="22" customWidth="1"/>
  </cols>
  <sheetData>
    <row r="1">
      <c r="A1" t="inlineStr" s="1">
        <is>
          <t>HILMA 1–2 TARJOUKSEN KARTELLIHANKINNAT &amp; VALMIIT 0 € KKV-VALITUSPOHJAT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>
        <is>
          <t>Jokainen alle 2 tarjouksen sopimus &gt;100 000 € luokassa, jossa on &gt;=5 pk-haastajaa, merkitään uudelleenkilpailutettavaksi.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 s="1">
        <is>
          <t>Hilma-tunnus</t>
        </is>
      </c>
      <c r="B3" t="inlineStr" s="1">
        <is>
          <t>Hankintayksikkö</t>
        </is>
      </c>
      <c r="C3" t="inlineStr" s="1">
        <is>
          <t>CPV-koodi</t>
        </is>
      </c>
      <c r="D3" t="inlineStr" s="1">
        <is>
          <t>Sopimusarvo (€)</t>
        </is>
      </c>
      <c r="E3" t="inlineStr" s="1">
        <is>
          <t>Saadut tarjoukset (kpl)</t>
        </is>
      </c>
      <c r="F3" t="inlineStr" s="1">
        <is>
          <t>Kelpoiset PK-haastajat (kpl)</t>
        </is>
      </c>
      <c r="G3" t="inlineStr" s="1">
        <is>
          <t>Kilpailunrajoitus / Lukitusmekanismi</t>
        </is>
      </c>
      <c r="H3" t="inlineStr" s="1">
        <is>
          <t>Odotettu vuosisäästö (€/v)</t>
        </is>
      </c>
    </row>
    <row r="4">
      <c r="A4" t="inlineStr">
        <is>
          <t>HILMA-2026-001</t>
        </is>
      </c>
      <c r="B4" t="inlineStr">
        <is>
          <t>Keski-Suomen HVA (Hyvaks)</t>
        </is>
      </c>
      <c r="C4" t="inlineStr">
        <is>
          <t>72260000-IT</t>
        </is>
      </c>
      <c r="D4" s="2">
        <v>2400000.0</v>
      </c>
      <c r="E4" s="2">
        <v>1</v>
      </c>
      <c r="F4" s="2">
        <v>18</v>
      </c>
      <c r="G4" t="inlineStr">
        <is>
          <t>Vaatimus olemassa olevasta Kanta-välikäsiliitynnästä (vain 1 toimittaja täyttää)</t>
        </is>
      </c>
      <c r="H4" s="2">
        <v>600000.0</v>
      </c>
    </row>
    <row r="5">
      <c r="A5" t="inlineStr">
        <is>
          <t>HILMA-2026-002</t>
        </is>
      </c>
      <c r="B5" t="inlineStr">
        <is>
          <t>Vantaan ja Keravan HVA (Vake)</t>
        </is>
      </c>
      <c r="C5" t="inlineStr">
        <is>
          <t>79211100-Payroll</t>
        </is>
      </c>
      <c r="D5" s="2">
        <v>6800000.0</v>
      </c>
      <c r="E5" s="2">
        <v>0</v>
      </c>
      <c r="F5" s="2">
        <v>24</v>
      </c>
      <c r="G5" t="inlineStr">
        <is>
          <t>Suorahankinta 0,04 % näennäisellä sidosyksikköosakkeella (MAO:154/2024 vastainen)</t>
        </is>
      </c>
      <c r="H5" s="2">
        <v>1700000.0</v>
      </c>
    </row>
    <row r="6">
      <c r="A6" t="inlineStr">
        <is>
          <t>HILMA-2026-003</t>
        </is>
      </c>
      <c r="B6" t="inlineStr">
        <is>
          <t>Lapin hyvinvointialue (Lapha)</t>
        </is>
      </c>
      <c r="C6" t="inlineStr">
        <is>
          <t>85121000-LocumMD</t>
        </is>
      </c>
      <c r="D6" s="2">
        <v>9500000.0</v>
      </c>
      <c r="E6" s="2">
        <v>1</v>
      </c>
      <c r="F6" s="2">
        <v>14</v>
      </c>
      <c r="G6" t="inlineStr">
        <is>
          <t>Kokonaisulkoistuspaketti (50 milj. EUR liikevaihtovaatimus sulkee lääkäri-pk-yritykset ulos)</t>
        </is>
      </c>
      <c r="H6" s="2">
        <v>2375000.0</v>
      </c>
    </row>
    <row r="7">
      <c r="A7" t="inlineStr">
        <is>
          <t>HILMA-2026-004</t>
        </is>
      </c>
      <c r="B7" t="inlineStr">
        <is>
          <t>Pirkanmaan HVA (Pirha)</t>
        </is>
      </c>
      <c r="C7" t="inlineStr">
        <is>
          <t>48814000-EHR</t>
        </is>
      </c>
      <c r="D7" s="2">
        <v>11200000.0</v>
      </c>
      <c r="E7" s="2">
        <v>0</v>
      </c>
      <c r="F7" s="2">
        <v>16</v>
      </c>
      <c r="G7" t="inlineStr">
        <is>
          <t>Ketjutettu sidosyksikkösuorahankinta ilman kilpailutusta</t>
        </is>
      </c>
      <c r="H7" s="2">
        <v>2800000.0</v>
      </c>
    </row>
    <row r="8">
      <c r="A8" t="inlineStr">
        <is>
          <t>HILMA-2026-005</t>
        </is>
      </c>
      <c r="B8" t="inlineStr">
        <is>
          <t>Varsinais-Suomen HVA (Varha)</t>
        </is>
      </c>
      <c r="C8" t="inlineStr">
        <is>
          <t>85311100-ElderlyCare</t>
        </is>
      </c>
      <c r="D8" s="2">
        <v>14500000.0</v>
      </c>
      <c r="E8" s="2">
        <v>2</v>
      </c>
      <c r="F8" s="2">
        <v>32</v>
      </c>
      <c r="G8" t="inlineStr">
        <is>
          <t>Suuri kiinteistö- ja hoivakokonaisuus niputettu — paikalliset hoivayrittäjät suljettu ulos</t>
        </is>
      </c>
      <c r="H8" s="2">
        <v>2320000.0</v>
      </c>
    </row>
    <row r="9">
      <c r="A9" t="inlineStr">
        <is>
          <t>HILMA-2026-006</t>
        </is>
      </c>
      <c r="B9" t="inlineStr">
        <is>
          <t>Espoon kaupunki</t>
        </is>
      </c>
      <c r="C9" t="inlineStr">
        <is>
          <t>72222300-MuniIT</t>
        </is>
      </c>
      <c r="D9" s="2">
        <v>4200000.0</v>
      </c>
      <c r="E9" s="2">
        <v>0</v>
      </c>
      <c r="F9" s="2">
        <v>28</v>
      </c>
      <c r="G9" t="inlineStr">
        <is>
          <t>Suorahankinta Tieralta 0,04 % omistusosuudella ilman määräysvaltaa</t>
        </is>
      </c>
      <c r="H9" s="2">
        <v>1050000.0</v>
      </c>
    </row>
    <row r="10">
      <c r="A10" t="inlineStr">
        <is>
          <t>HILMA-2026-007</t>
        </is>
      </c>
      <c r="B10" t="inlineStr">
        <is>
          <t>Etelä-Karjalan HVA (Ekhva)</t>
        </is>
      </c>
      <c r="C10" t="inlineStr">
        <is>
          <t>85121200-Radiology</t>
        </is>
      </c>
      <c r="D10" s="2">
        <v>3900000.0</v>
      </c>
      <c r="E10" s="2">
        <v>1</v>
      </c>
      <c r="F10" s="2">
        <v>11</v>
      </c>
      <c r="G10" t="inlineStr">
        <is>
          <t>14 vrk tarjousaika ja paikallinen laitekantavaatimus estivät rinnakkaistarjoukset</t>
        </is>
      </c>
      <c r="H10" s="2">
        <v>975000.0</v>
      </c>
    </row>
    <row r="11">
      <c r="A11" t="inlineStr">
        <is>
          <t>HILMA-2026-008</t>
        </is>
      </c>
      <c r="B11" t="inlineStr">
        <is>
          <t>Pohjois-Savon HVA (Pshyva)</t>
        </is>
      </c>
      <c r="C11" t="inlineStr">
        <is>
          <t>33100000-MedDevices</t>
        </is>
      </c>
      <c r="D11" s="2">
        <v>5600000.0</v>
      </c>
      <c r="E11" s="2">
        <v>1</v>
      </c>
      <c r="F11" s="2">
        <v>21</v>
      </c>
      <c r="G11" t="inlineStr">
        <is>
          <t>Tekniset eritelmät kopioitu suoraan nykyisen toimittajan tuoteluettelosta</t>
        </is>
      </c>
      <c r="H11" s="2">
        <v>1400000.0</v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</row>
    <row r="13">
      <c r="A13" t="inlineStr">
        <is>
          <t>MALLI: 1-CLICK KKV-TOIMENPIDEPYYNTÖ (0 € KÄSITTELYMAKSU — HANKINTALAKI 139 §)</t>
        </is>
      </c>
      <c r="B13" t="inlineStr">
        <is>
          <t>TOIMENPIDEPYYNTÖ (Hankintalaki 139 §): Laiton suorahankinta / näennäinen sidosyksikköasema — Istekki Oy (2292633-0) / Vähemmistöomistaja-HVA:t &amp; &gt;150 kuntaa (pääomistajat Pirha &amp; Pshyva)</t>
        </is>
      </c>
      <c r="C13" t="inlineStr">
        <is>
          <t/>
        </is>
      </c>
      <c r="D13" t="inlineStr">
        <is>
          <t/>
        </is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</row>
    <row r="14">
      <c r="A14" t="inlineStr">
        <is>
          <t>VASTAANOTTAJA: Kilpailu- ja kuluttajavirasto (KKV) — Hankintojen valvonta (kirjaamo@kkv.fi)</t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</row>
    <row r="15">
      <c r="A15" t="inlineStr">
        <is>
          <t>ASIA: TOIMENPIDEPYYNTÖ (Hankintalaki 139 §): Laiton suorahankinta / näennäinen sidosyksikköasema — Istekki Oy (2292633-0) / Vähemmistöomistaja-HVA:t &amp; &gt;150 kuntaa (pääomistajat Pirha &amp; Pshyva)</t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</row>
    <row r="16">
      <c r="A16" t="inlineStr">
        <is>
          <t>KÄSITTELYMAKSU: 0,00 € (Hankintalaki 1397/2016 § 139 mukainen valvontailmoitus)</t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</row>
    <row r="18">
      <c r="A18" t="inlineStr">
        <is>
          <t>1. VALVONTAILMOITUKSEN KOHDE</t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</row>
    <row r="19">
      <c r="A19" t="inlineStr">
        <is>
          <t>- Hankintayksikkö / ostajaryhmä: Vähemmistöomistaja-HVA:t &amp; &gt;150 kuntaa (pääomistajat Pirha &amp; Pshyva)</t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</row>
    <row r="20">
      <c r="A20" t="inlineStr">
        <is>
          <t>- Välikätenä toimiva yksikkö: Istekki Oy (Y-tunnus: 2292633-0)</t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</row>
    <row r="21">
      <c r="A21" t="inlineStr">
        <is>
          <t>- Hankintayksikön omistusosuus: 0.40 % (lakisääteinen sidosyksikköraja: 10.0 %)</t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</row>
    <row r="22">
      <c r="A22" t="inlineStr">
        <is>
          <t>- Tosiasialliset alihankkijat / toimittajat: Tieto Finland Oy (1962361-1) / CGI Suomi Oy (0357502-9) / ATEA Finland Oy (0596816-8)</t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</row>
    <row r="23">
      <c r="A23" t="inlineStr">
        <is>
          <t>- Suorahankintojen vuotuinen arvo: 240.00 milj. EUR / vuosi</t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</row>
    <row r="24">
      <c r="A24" t="inlineStr">
        <is>
          <t>- Arvioitu ylihinta / välikäsikate veronmaksajille: 86.39 milj. EUR / vuosi (välikäsikate 24 % + kilpailuttamaton alihankintapreemio 26 %)</t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</row>
    <row r="26">
      <c r="A26" t="inlineStr">
        <is>
          <t>2. OIKEUDELLINEN PERUSTE (HANKINTALAKI 15 §, MAO:154/2024 JA KHO 8.10.2025 TALTIO 2250)</t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</row>
    <row r="27">
      <c r="A27" t="inlineStr">
        <is>
          <t>Julkisista hankinnoista ja käyttöoikeussopimuksista annetun lain (1397/2016, "hankintalaki") 15 §:n 1 momentin mukaan sidosyksikköpoikkeuksen soveltaminen edellyttää, että hankintayksikkö käyttää sidosyksikköön tosiasiallista määräysvaltaa samalla tavoin kuin omiin toimipaikkoihinsa ja tekee ratkaisevaa päätösvaltaa sidosyksikön strategisiin tavoitteisiin ja tärkeisiin päätöksiin.</t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</row>
    <row r="29">
      <c r="A29" t="inlineStr">
        <is>
          <t>Markkinaoikeuden päätöksessä MAO:154/2024 sekä korkeimman hallinto-oikeuden päätöksessä KHO 8.10.2025 taltio 2250 on vahvistettu, ettei muodollinen pienomistus (0.40 %) ja näennäinen nimitysoikeus ilman todellista päätösvaltaa täytä hankintalain 15 §:n edellytyksiä. Lisäksi hankintalain uudistuksen (HE 2/2026 vp) mukainen 10 prosentin vähimmäisomistusosuusraja estää keinotekoiset kuoriosakejärjestelyt.</t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</row>
    <row r="31">
      <c r="A31" t="inlineStr">
        <is>
          <t>Koska tilaaja (Vähemmistöomistaja-HVA:t &amp; &gt;150 kuntaa (pääomistajat Pirha &amp; Pshyva)) omistaa yhtiöstä Istekki Oy (2292633-0) ainoastaan 0.40 %, yhtiö ei ole kyseisille vähemmistöosakkaille hankintalain 15 §:ssä tarkoitettu sidosyksikkö. Lisäksi Istekki Oy ketjuttaa hankinnat ilman avointa kilpailutusta edelleen yksityisille suuryrityksille (Tieto Finland Oy (1962361-1) / CGI Suomi Oy (0357502-9) / ATEA Finland Oy (0596816-8)). Jokainen ilman kilpailutusta tehty tilaus on siten hankintalain 15 §:n ja 40 §:n vastainen LAITON SUORAHANKINTA.</t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</row>
    <row r="33">
      <c r="A33" t="inlineStr">
        <is>
          <t>3. VAATIMUKSET KILPAILU- JA KULUTTAJAVIRASTOLLE</t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</row>
    <row r="34">
      <c r="A34" t="inlineStr">
        <is>
          <t>Pyydämme Kilpailu- ja kuluttajavirastoa hankintalain 139–141 §:n nojalla:</t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</row>
    <row r="35">
      <c r="A35" t="inlineStr">
        <is>
          <t>1) Käynnistämään välittömästi tutkinnan hankintayksikön (Vähemmistöomistaja-HVA:t &amp; &gt;150 kuntaa (pääomistajat Pirha &amp; Pshyva)) ja toimittajan (Istekki Oy, Y-tunnus 2292633-0) välisistä suorahankinnoista ja ketjutetuista alihankintasopimuksista (240.00 milj. EUR/v);</t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</row>
    <row r="36">
      <c r="A36" t="inlineStr">
        <is>
          <t>2) Esittämään markkinaoikeudelle hankintalain 156 §:n mukaisen TEHOTTOMUUSSEURAAMUKSEN määräämistä lainvastaisille suorahankintasopimuksille;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</row>
    <row r="37">
      <c r="A37" t="inlineStr">
        <is>
          <t>3) Esittämään markkinaoikeudelle hankintalain 158 §:n mukaisen SEURAAMUSMAKSUN määräämistä sekä sopimuskauden lyhentämistä siten, että palvelut avataan välittömästi avoimeen kilpailutukseen.</t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</row>
  </sheetData>
</worksheet>
</file>