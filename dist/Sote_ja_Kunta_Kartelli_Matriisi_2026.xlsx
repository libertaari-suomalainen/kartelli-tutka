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Leikkuri" sheetId="1" r:id="rId1"/>
    <sheet name="02_Sidosyksikko_Kartellit" sheetId="2" r:id="rId2"/>
    <sheet name="03_Alueiden_Hintavertailu_P25" sheetId="3" r:id="rId3"/>
    <sheet name="04_MAO_Hilma_1Tarjous_Tapaukset" sheetId="4" r:id="rId4"/>
    <sheet name="05_Kaikki_43_Julkista_Ostajaa" sheetId="5" r:id="rId5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KARTELLI-PURKAJA 2026 — JULKISTEN HANKINTOJEN (38,7 MRD €/V) LEIKKURI &amp; OIKEUSOHJUS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Tutkihankintoja.fi, Hilma OCDS, PRH Avoindata, MAO:154/2024 &amp; KHO 8.10.2025 taltio 2250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Leikkausmekanismi / Kartellikategoria</t>
        </is>
      </c>
      <c r="B3" t="inlineStr" s="1">
        <is>
          <t>Vuotuinen ostovolyymi (M€/v)</t>
        </is>
      </c>
      <c r="C3" t="inlineStr" s="1">
        <is>
          <t>Laiton / Ylihintainen kanta (M€/v)</t>
        </is>
      </c>
      <c r="D3" t="inlineStr" s="1">
        <is>
          <t>Välitön vuosisäästö (M€/v)</t>
        </is>
      </c>
    </row>
    <row r="4">
      <c r="A4" t="inlineStr">
        <is>
          <t>1. Sidosyksikkökartellit (15 välikäsiyhtiötä: Istekki, Apotti, 2M-IT, Sarastia, Monetra, Tiera, Valtori, Fimlab, Tuomi ym.)</t>
        </is>
      </c>
      <c r="B4" s="2">
        <v>1980.0</v>
      </c>
      <c r="C4" s="2">
        <v>1207.0</v>
      </c>
      <c r="D4" s="2">
        <v>699.95</v>
      </c>
    </row>
    <row r="5">
      <c r="A5" t="inlineStr">
        <is>
          <t>2. Hyvinvointialueiden &amp; kuntien yksikköhintojen P25-arbitraasi (5 kärkikategoriaa, 31 aluevertailua)</t>
        </is>
      </c>
      <c r="B5" s="2">
        <v>2701.62</v>
      </c>
      <c r="C5" s="2">
        <v>2701.62</v>
      </c>
      <c r="D5" s="2">
        <v>711.23</v>
      </c>
    </row>
    <row r="6">
      <c r="A6" t="inlineStr">
        <is>
          <t>3. Hilma &amp; MAO 1–2 tarjouksen kilpailutukset &amp; suorahankinnat (kansallinen skaalaus 45 % kantaan)</t>
        </is>
      </c>
      <c r="B6" s="2">
        <v>8400.0</v>
      </c>
      <c r="C6" s="2">
        <v>3780.0</v>
      </c>
      <c r="D6" s="2">
        <v>1620.0</v>
      </c>
    </row>
    <row r="7">
      <c r="A7" t="inlineStr">
        <is>
          <t>YHTEENSÄ (VÄLITÖN RAKENTEELLINEN SÄÄSTÖPOTENTIAALI, M€/V)</t>
        </is>
      </c>
      <c r="B7" s="2">
        <f>SUM(B4:B6)</f>
        <v>13081.62</v>
      </c>
      <c r="C7" s="2">
        <f>SUM(C4:C6)</f>
        <v>7688.62</v>
      </c>
      <c r="D7" s="2">
        <f>SUM(D4:D6)</f>
        <v>3031.18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32" customWidth="1"/>
    <col min="4" max="4" width="15" customWidth="1"/>
    <col min="5" max="5" width="44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SIDOSYKSIKKÖKARTELLIT (HANKINTALAKI 15 §, MAO:154/2024 &amp; KHO 8.10.2025) — 15 VÄLIKÄSIYHTIÖTÄ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Alle 10 % omistusosuus ilman tosiasiallista määräysvaltaa tekee jokaisesta suorahankinnasta laittoman (0 € KKV-toimenpidepyyntö).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Ostajaryhmä (HVA / Kunnat / Valtio)</t>
        </is>
      </c>
      <c r="B3" t="inlineStr" s="1">
        <is>
          <t>Omistus-%</t>
        </is>
      </c>
      <c r="C3" t="inlineStr" s="1">
        <is>
          <t>Sidosyksikkö (Välikäsi)</t>
        </is>
      </c>
      <c r="D3" t="inlineStr" s="1">
        <is>
          <t>PRH Y-tunnus</t>
        </is>
      </c>
      <c r="E3" t="inlineStr" s="1">
        <is>
          <t>Todelliset alihankkijat (Ilman kilpailutusta)</t>
        </is>
      </c>
      <c r="F3" t="inlineStr" s="1">
        <is>
          <t>Vuosiostot (M€/v)</t>
        </is>
      </c>
      <c r="G3" t="inlineStr" s="1">
        <is>
          <t>Välikäsikate (%)</t>
        </is>
      </c>
      <c r="H3" t="inlineStr" s="1">
        <is>
          <t>Alihankintapreemio (%)</t>
        </is>
      </c>
      <c r="I3" t="inlineStr" s="1">
        <is>
          <t>Vuosisäästö (M€/v)</t>
        </is>
      </c>
      <c r="J3" t="inlineStr" s="1">
        <is>
          <t>Kirjaamo (1-Click Oikaisu)</t>
        </is>
      </c>
    </row>
    <row r="4">
      <c r="A4" t="inlineStr">
        <is>
          <t>Uusimaa / HUS / Helsinki / Vantaa-Kerava</t>
        </is>
      </c>
      <c r="B4" s="2">
        <v>12.5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/ Tieto Finland Oy (1962361-1)</t>
        </is>
      </c>
      <c r="F4" s="2">
        <v>195.0</v>
      </c>
      <c r="G4" s="2">
        <v>28.0</v>
      </c>
      <c r="H4" s="2">
        <v>32.0</v>
      </c>
      <c r="I4" s="2">
        <f>ROUND(F4*(1-(1/((1+G4/100)*(1+H4/100)))),2)</f>
        <v>79.59</v>
      </c>
      <c r="J4" t="inlineStr">
        <is>
          <t>kirjaamo@hus.fi</t>
        </is>
      </c>
    </row>
    <row r="5">
      <c r="A5" t="inlineStr">
        <is>
          <t>Vähemmistöomistaja-HVA:t &amp; &gt;150 kuntaa (pääomistajat Pirha &amp; Pshyva)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Tieto Finland Oy (1962361-1) / CGI Suomi Oy (0357502-9) / ATEA Finland Oy (0596816-8)</t>
        </is>
      </c>
      <c r="F5" s="2">
        <v>240.0</v>
      </c>
      <c r="G5" s="2">
        <v>24.0</v>
      </c>
      <c r="H5" s="2">
        <v>26.0</v>
      </c>
      <c r="I5" s="2">
        <f>ROUND(F5*(1-(1/((1+G5/100)*(1+H5/100)))),2)</f>
        <v>86.39</v>
      </c>
      <c r="J5" t="inlineStr">
        <is>
          <t>kirjaamo@pirha.fi</t>
        </is>
      </c>
    </row>
    <row r="6">
      <c r="A6" t="inlineStr">
        <is>
          <t>Lapha, Kanta-Häme &amp; 12 vähemmistöomistaja-HVA:ta (pääomistajat Varha &amp; Sata)</t>
        </is>
      </c>
      <c r="B6" s="2">
        <v>0.8</v>
      </c>
      <c r="C6" t="inlineStr">
        <is>
          <t>2M-IT Oy</t>
        </is>
      </c>
      <c r="D6" t="inlineStr">
        <is>
          <t>2859795-3</t>
        </is>
      </c>
      <c r="E6" t="inlineStr">
        <is>
          <t>CGI Suomi Oy (0357502-9) / Tieto Finland Oy (1962361-1) / Gofore Oyj (1710128-9)</t>
        </is>
      </c>
      <c r="F6" s="2">
        <v>155.0</v>
      </c>
      <c r="G6" s="2">
        <v>22.0</v>
      </c>
      <c r="H6" s="2">
        <v>25.0</v>
      </c>
      <c r="I6" s="2">
        <f>ROUND(F6*(1-(1/((1+G6/100)*(1+H6/100)))),2)</f>
        <v>53.36</v>
      </c>
      <c r="J6" t="inlineStr">
        <is>
          <t>kirjaamo@varha.fi</t>
        </is>
      </c>
    </row>
    <row r="7">
      <c r="A7" t="inlineStr">
        <is>
          <t>18 hyvinvointialuetta &amp; yli 200 kuntaa</t>
        </is>
      </c>
      <c r="B7" s="2">
        <v>0.05</v>
      </c>
      <c r="C7" t="inlineStr">
        <is>
          <t>Numera Palvelut Oy (Sarastia)</t>
        </is>
      </c>
      <c r="D7" t="inlineStr">
        <is>
          <t>2360731-5</t>
        </is>
      </c>
      <c r="E7" t="inlineStr">
        <is>
          <t>Accountor / CGI Suomi Oy (0357502-9)</t>
        </is>
      </c>
      <c r="F7" s="2">
        <v>135.0</v>
      </c>
      <c r="G7" s="2">
        <v>26.0</v>
      </c>
      <c r="H7" s="2">
        <v>24.0</v>
      </c>
      <c r="I7" s="2">
        <f>ROUND(F7*(1-(1/((1+G7/100)*(1+H7/100)))),2)</f>
        <v>48.59</v>
      </c>
      <c r="J7" t="inlineStr">
        <is>
          <t>kirjaamo@vakehyva.fi</t>
        </is>
      </c>
    </row>
    <row r="8">
      <c r="A8" t="inlineStr">
        <is>
          <t>Monetra-emoyhtiön vähemmistöomistajakunnat &amp; -hyvinvointialueet (Pohde, Hyvaks ym.)</t>
        </is>
      </c>
      <c r="B8" s="2">
        <v>1.2</v>
      </c>
      <c r="C8" t="inlineStr">
        <is>
          <t>Monetra Oy</t>
        </is>
      </c>
      <c r="D8" t="inlineStr">
        <is>
          <t>2930159-5</t>
        </is>
      </c>
      <c r="E8" t="inlineStr">
        <is>
          <t>CGI Suomi Oy (0357502-9) / Visma</t>
        </is>
      </c>
      <c r="F8" s="2">
        <v>120.0</v>
      </c>
      <c r="G8" s="2">
        <v>21.0</v>
      </c>
      <c r="H8" s="2">
        <v>22.0</v>
      </c>
      <c r="I8" s="2">
        <f>ROUND(F8*(1-(1/((1+G8/100)*(1+H8/100)))),2)</f>
        <v>38.71</v>
      </c>
      <c r="J8" t="inlineStr">
        <is>
          <t>kirjaamo@pohde.fi</t>
        </is>
      </c>
    </row>
    <row r="9">
      <c r="A9" t="inlineStr">
        <is>
          <t>Yli 260 kuntaa ja kuntayhtymää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Tieto Finland Oy (1962361-1) / CGI Suomi Oy (0357502-9)</t>
        </is>
      </c>
      <c r="F9" s="2">
        <v>95.0</v>
      </c>
      <c r="G9" s="2">
        <v>25.0</v>
      </c>
      <c r="H9" s="2">
        <v>25.0</v>
      </c>
      <c r="I9" s="2">
        <f>ROUND(F9*(1-(1/((1+G9/100)*(1+H9/100)))),2)</f>
        <v>34.2</v>
      </c>
      <c r="J9" t="inlineStr">
        <is>
          <t>kirjaamo@espoo.fi</t>
        </is>
      </c>
    </row>
    <row r="10">
      <c r="A10" t="inlineStr">
        <is>
          <t>Valtion virastot ja laitokset (yli 60 kpl)</t>
        </is>
      </c>
      <c r="B10" s="2">
        <v>100.0</v>
      </c>
      <c r="C10" t="inlineStr">
        <is>
          <t>Valtori</t>
        </is>
      </c>
      <c r="D10" t="inlineStr">
        <is>
          <t>2574261-7</t>
        </is>
      </c>
      <c r="E10" t="inlineStr">
        <is>
          <t>Tieto Finland Oy (1962361-1) / CGI Suomi Oy (0357502-9) / Elisa Oyj</t>
        </is>
      </c>
      <c r="F10" s="2">
        <v>480.0</v>
      </c>
      <c r="G10" s="2">
        <v>30.0</v>
      </c>
      <c r="H10" s="2">
        <v>28.0</v>
      </c>
      <c r="I10" s="2">
        <f>ROUND(F10*(1-(1/((1+G10/100)*(1+H10/100)))),2)</f>
        <v>191.54</v>
      </c>
      <c r="J10" t="inlineStr">
        <is>
          <t>kirjaamo@valtori.fi</t>
        </is>
      </c>
    </row>
    <row r="11">
      <c r="A11" t="inlineStr">
        <is>
          <t>Pirha, Kanta-Häme, Keski-Suomi, Päijät-Häme &amp; Pohjanmaa</t>
        </is>
      </c>
      <c r="B11" s="2">
        <v>2.5</v>
      </c>
      <c r="C11" t="inlineStr">
        <is>
          <t>Fimlab Laboratoriot Oy</t>
        </is>
      </c>
      <c r="D11" t="inlineStr">
        <is>
          <t>2392519-6</t>
        </is>
      </c>
      <c r="E11" t="inlineStr">
        <is>
          <t>Roche Diagnostics / Abbott / yksityiset keskuslaboratorioalihankkijat</t>
        </is>
      </c>
      <c r="F11" s="2">
        <v>142.0</v>
      </c>
      <c r="G11" s="2">
        <v>19.0</v>
      </c>
      <c r="H11" s="2">
        <v>21.0</v>
      </c>
      <c r="I11" s="2">
        <f>ROUND(F11*(1-(1/((1+G11/100)*(1+H11/100)))),2)</f>
        <v>43.38</v>
      </c>
      <c r="J11" t="inlineStr">
        <is>
          <t>kirjaamo@pirha.fi</t>
        </is>
      </c>
    </row>
    <row r="12">
      <c r="A12" t="inlineStr">
        <is>
          <t>Pirha, Tampereen kaupunki &amp; 18 kehyskuntaa</t>
        </is>
      </c>
      <c r="B12" s="2">
        <v>0.6</v>
      </c>
      <c r="C12" t="inlineStr">
        <is>
          <t>Tuomi Logistiikka Oy</t>
        </is>
      </c>
      <c r="D12" t="inlineStr">
        <is>
          <t>2722581-6</t>
        </is>
      </c>
      <c r="E12" t="inlineStr">
        <is>
          <t>Kuljetus- ja taksiyhtiöt / hoitosuhdetarvike- ja logistiikkatukut</t>
        </is>
      </c>
      <c r="F12" s="2">
        <v>92.0</v>
      </c>
      <c r="G12" s="2">
        <v>18.0</v>
      </c>
      <c r="H12" s="2">
        <v>20.0</v>
      </c>
      <c r="I12" s="2">
        <f>ROUND(F12*(1-(1/((1+G12/100)*(1+H12/100)))),2)</f>
        <v>27.03</v>
      </c>
      <c r="J12" t="inlineStr">
        <is>
          <t>kirjaamo@tampere.fi</t>
        </is>
      </c>
    </row>
    <row r="13">
      <c r="A13" t="inlineStr">
        <is>
          <t>Ekhva, Kymenhva, Eloisa &amp; Kaakkois-Suomen kunnat</t>
        </is>
      </c>
      <c r="B13" s="2">
        <v>0.9</v>
      </c>
      <c r="C13" t="inlineStr">
        <is>
          <t>Meita Oy (Meidän IT ja talous Oy)</t>
        </is>
      </c>
      <c r="D13" t="inlineStr">
        <is>
          <t>2945110-4</t>
        </is>
      </c>
      <c r="E13" t="inlineStr">
        <is>
          <t>CGI Suomi Oy (0357502-9) / Tieto Finland Oy (1962361-1)</t>
        </is>
      </c>
      <c r="F13" s="2">
        <v>64.0</v>
      </c>
      <c r="G13" s="2">
        <v>22.0</v>
      </c>
      <c r="H13" s="2">
        <v>23.0</v>
      </c>
      <c r="I13" s="2">
        <f>ROUND(F13*(1-(1/((1+G13/100)*(1+H13/100)))),2)</f>
        <v>21.35</v>
      </c>
      <c r="J13" t="inlineStr">
        <is>
          <t>kirjaamo@ekhva.fi</t>
        </is>
      </c>
    </row>
    <row r="14">
      <c r="A14" t="inlineStr">
        <is>
          <t>Varha, Turun kaupunki &amp; Varsinais-Suomen kunnat</t>
        </is>
      </c>
      <c r="B14" s="2">
        <v>1.1</v>
      </c>
      <c r="C14" t="inlineStr">
        <is>
          <t>Kaarea Oy</t>
        </is>
      </c>
      <c r="D14" t="inlineStr">
        <is>
          <t>2925981-7</t>
        </is>
      </c>
      <c r="E14" t="inlineStr">
        <is>
          <t>Elintarvike-, puhtaus- ja kiinteistöhuollon alihankintaketjut</t>
        </is>
      </c>
      <c r="F14" s="2">
        <v>58.0</v>
      </c>
      <c r="G14" s="2">
        <v>17.0</v>
      </c>
      <c r="H14" s="2">
        <v>19.0</v>
      </c>
      <c r="I14" s="2">
        <f>ROUND(F14*(1-(1/((1+G14/100)*(1+H14/100)))),2)</f>
        <v>16.34</v>
      </c>
      <c r="J14" t="inlineStr">
        <is>
          <t>kirjaamo@turku.fi</t>
        </is>
      </c>
    </row>
    <row r="15">
      <c r="A15" t="inlineStr">
        <is>
          <t>Siun sote (Pohjois-Karjalan HVA) &amp; Joensuun seudun kunnat</t>
        </is>
      </c>
      <c r="B15" s="2">
        <v>1.5</v>
      </c>
      <c r="C15" t="inlineStr">
        <is>
          <t>Polkka - Pohjois-Karjalan tukipalvelut oy</t>
        </is>
      </c>
      <c r="D15" t="inlineStr">
        <is>
          <t>2775939-1</t>
        </is>
      </c>
      <c r="E15" t="inlineStr">
        <is>
          <t>Elintarvike- ja tukipalvelutukut / paikalliset alihankkijat</t>
        </is>
      </c>
      <c r="F15" s="2">
        <v>41.0</v>
      </c>
      <c r="G15" s="2">
        <v>18.0</v>
      </c>
      <c r="H15" s="2">
        <v>18.0</v>
      </c>
      <c r="I15" s="2">
        <f>ROUND(F15*(1-(1/((1+G15/100)*(1+H15/100)))),2)</f>
        <v>11.55</v>
      </c>
      <c r="J15" t="inlineStr">
        <is>
          <t>kirjaamo@siunsote.fi</t>
        </is>
      </c>
    </row>
    <row r="16">
      <c r="A16" t="inlineStr">
        <is>
          <t>Pshyva (Pohjois-Savo), Siun sote (Pohjois-Karjala) &amp; Eloisa (Etelä-Savo)</t>
        </is>
      </c>
      <c r="B16" s="2">
        <v>20.0</v>
      </c>
      <c r="C16" t="inlineStr">
        <is>
          <t>ISLAB hyvinvointiyhtymä</t>
        </is>
      </c>
      <c r="D16" t="inlineStr">
        <is>
          <t>2126106-6</t>
        </is>
      </c>
      <c r="E16" t="inlineStr">
        <is>
          <t>Kansainväliset diagnostiikka- ja reagenssitoimittajat</t>
        </is>
      </c>
      <c r="F16" s="2">
        <v>98.0</v>
      </c>
      <c r="G16" s="2">
        <v>16.0</v>
      </c>
      <c r="H16" s="2">
        <v>20.0</v>
      </c>
      <c r="I16" s="2">
        <f>ROUND(F16*(1-(1/((1+G16/100)*(1+H16/100)))),2)</f>
        <v>27.6</v>
      </c>
      <c r="J16" t="inlineStr">
        <is>
          <t>kirjaamo@pshyva.fi</t>
        </is>
      </c>
    </row>
    <row r="17">
      <c r="A17" t="inlineStr">
        <is>
          <t>Pshyva, Kuopio &amp; yli 80 vähemmistöosakaskuntaa ja -yhteisöä</t>
        </is>
      </c>
      <c r="B17" s="2">
        <v>0.3</v>
      </c>
      <c r="C17" t="inlineStr">
        <is>
          <t>Sansia Oy</t>
        </is>
      </c>
      <c r="D17" t="inlineStr">
        <is>
          <t>2364760-8</t>
        </is>
      </c>
      <c r="E17" t="inlineStr">
        <is>
          <t>Puitesopimustoimittajat ja konsulttiverkostot</t>
        </is>
      </c>
      <c r="F17" s="2">
        <v>38.0</v>
      </c>
      <c r="G17" s="2">
        <v>20.0</v>
      </c>
      <c r="H17" s="2">
        <v>18.0</v>
      </c>
      <c r="I17" s="2">
        <f>ROUND(F17*(1-(1/((1+G17/100)*(1+H17/100)))),2)</f>
        <v>11.16</v>
      </c>
      <c r="J17" t="inlineStr">
        <is>
          <t>kirjaamo@kuopio.fi</t>
        </is>
      </c>
    </row>
    <row r="18">
      <c r="A18" t="inlineStr">
        <is>
          <t>Hyvinvointialueet ja yli 120 kuntaa (henkilökohtaisen avun palkanlaskenta)</t>
        </is>
      </c>
      <c r="B18" s="2">
        <v>0.1</v>
      </c>
      <c r="C18" t="inlineStr">
        <is>
          <t>Kuntien Hetapalvelut Oy</t>
        </is>
      </c>
      <c r="D18" t="inlineStr">
        <is>
          <t>2642777-4</t>
        </is>
      </c>
      <c r="E18" t="inlineStr">
        <is>
          <t>Numera Palvelut Oy (Sarastia 2360731-5) / taloushallinnon järjestelmätoimittajat</t>
        </is>
      </c>
      <c r="F18" s="2">
        <v>27.0</v>
      </c>
      <c r="G18" s="2">
        <v>24.0</v>
      </c>
      <c r="H18" s="2">
        <v>22.0</v>
      </c>
      <c r="I18" s="2">
        <f>ROUND(F18*(1-(1/((1+G18/100)*(1+H18/100)))),2)</f>
        <v>9.15</v>
      </c>
      <c r="J18" t="inlineStr">
        <is>
          <t>kirjaamo@vakehyva.fi</t>
        </is>
      </c>
    </row>
    <row r="19">
      <c r="A19" t="inlineStr">
        <is>
          <t>YHTEENSÄ (15 SIDOSYKSIKKÖJÄTTIÄ)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s="2">
        <f>SUM(F4:F18)</f>
        <v>1980.0</v>
      </c>
      <c r="G19" t="inlineStr">
        <is>
          <t/>
        </is>
      </c>
      <c r="H19" t="inlineStr">
        <is>
          <t/>
        </is>
      </c>
      <c r="I19" s="2">
        <f>SUM(I4:I18)</f>
        <v>699.95</v>
      </c>
      <c r="J19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Ylihinta vs. P25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185.0</v>
      </c>
      <c r="F8" s="2">
        <v>128.0</v>
      </c>
      <c r="G8" s="2">
        <v>44.5</v>
      </c>
      <c r="H8" s="2">
        <f>ROUND(D8*E8,2)</f>
        <v>13875000.0</v>
      </c>
      <c r="I8" s="2">
        <f>ROUND(IF(E8&gt;F8,D8*(E8-F8),0),2)</f>
        <v>4275000.0</v>
      </c>
    </row>
    <row r="9">
      <c r="A9" t="inlineStr">
        <is>
          <t>Ekhva (Etelä-Karjala)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198.0</v>
      </c>
      <c r="F9" s="2">
        <v>128.0</v>
      </c>
      <c r="G9" s="2">
        <v>54.7</v>
      </c>
      <c r="H9" s="2">
        <f>ROUND(D9*E9,2)</f>
        <v>10890000.0</v>
      </c>
      <c r="I9" s="2">
        <f>ROUND(IF(E9&gt;F9,D9*(E9-F9),0),2)</f>
        <v>3850000.0</v>
      </c>
    </row>
    <row r="10">
      <c r="A10" t="inlineStr">
        <is>
          <t>Soite (Keski-Pohjanmaa)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205.0</v>
      </c>
      <c r="F10" s="2">
        <v>128.0</v>
      </c>
      <c r="G10" s="2">
        <v>60.2</v>
      </c>
      <c r="H10" s="2">
        <f>ROUND(D10*E10,2)</f>
        <v>9225000.0</v>
      </c>
      <c r="I10" s="2">
        <f>ROUND(IF(E10&gt;F10,D10*(E10-F10),0),2)</f>
        <v>3465000.0</v>
      </c>
    </row>
    <row r="11">
      <c r="A11" t="inlineStr">
        <is>
          <t>Lapha (Lappi)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218.0</v>
      </c>
      <c r="F11" s="2">
        <v>128.0</v>
      </c>
      <c r="G11" s="2">
        <v>70.3</v>
      </c>
      <c r="H11" s="2">
        <f>ROUND(D11*E11,2)</f>
        <v>18530000.0</v>
      </c>
      <c r="I11" s="2">
        <f>ROUND(IF(E11&gt;F11,D11*(E11-F11),0),2)</f>
        <v>7650000.0</v>
      </c>
    </row>
    <row r="12">
      <c r="A12" t="inlineStr">
        <is>
          <t>Helsinki (Kaupunki)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(Monetra/Esko)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(2M-IT)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2390.0</v>
      </c>
      <c r="F15" s="2">
        <v>1490.0</v>
      </c>
      <c r="G15" s="2">
        <v>60.4</v>
      </c>
      <c r="H15" s="2">
        <f>ROUND(D15*E15,2)</f>
        <v>54970000.0</v>
      </c>
      <c r="I15" s="2">
        <f>ROUND(IF(E15&gt;F15,D15*(E15-F15),0),2)</f>
        <v>20700000.0</v>
      </c>
    </row>
    <row r="16">
      <c r="A16" t="inlineStr">
        <is>
          <t>Pirha (Istekki)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2680.0</v>
      </c>
      <c r="F16" s="2">
        <v>1490.0</v>
      </c>
      <c r="G16" s="2">
        <v>79.9</v>
      </c>
      <c r="H16" s="2">
        <f>ROUND(D16*E16,2)</f>
        <v>56280000.0</v>
      </c>
      <c r="I16" s="2">
        <f>ROUND(IF(E16&gt;F16,D16*(E16-F16),0),2)</f>
        <v>24990000.0</v>
      </c>
    </row>
    <row r="17">
      <c r="A17" t="inlineStr">
        <is>
          <t>Pshyva (Pohjois-Savo/Istekki)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2940.0</v>
      </c>
      <c r="F17" s="2">
        <v>1490.0</v>
      </c>
      <c r="G17" s="2">
        <v>97.3</v>
      </c>
      <c r="H17" s="2">
        <f>ROUND(D17*E17,2)</f>
        <v>37632000.0</v>
      </c>
      <c r="I17" s="2">
        <f>ROUND(IF(E17&gt;F17,D17*(E17-F17),0),2)</f>
        <v>18560000.0</v>
      </c>
    </row>
    <row r="18">
      <c r="A18" t="inlineStr">
        <is>
          <t>HUS / Vake (Apotti/Valtori)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3450.0</v>
      </c>
      <c r="F18" s="2">
        <v>1490.0</v>
      </c>
      <c r="G18" s="2">
        <v>131.5</v>
      </c>
      <c r="H18" s="2">
        <f>ROUND(D18*E18,2)</f>
        <v>110400000.0</v>
      </c>
      <c r="I18" s="2">
        <f>ROUND(IF(E18&gt;F18,D18*(E18-F18),0),2)</f>
        <v>62720000.0</v>
      </c>
    </row>
    <row r="19">
      <c r="A19" t="inlineStr">
        <is>
          <t>Pohde (Esko APTJ)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(Pohjois-Karjala)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(Lifecare/Istekki)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2950.0</v>
      </c>
      <c r="F21" s="2">
        <v>1820.0</v>
      </c>
      <c r="G21" s="2">
        <v>62.1</v>
      </c>
      <c r="H21" s="2">
        <f>ROUND(D21*E21,2)</f>
        <v>48675000.0</v>
      </c>
      <c r="I21" s="2">
        <f>ROUND(IF(E21&gt;F21,D21*(E21-F21),0),2)</f>
        <v>18645000.0</v>
      </c>
    </row>
    <row r="22">
      <c r="A22" t="inlineStr">
        <is>
          <t>Hyvaks (Keski-Suomi)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3280.0</v>
      </c>
      <c r="F22" s="2">
        <v>1820.0</v>
      </c>
      <c r="G22" s="2">
        <v>80.2</v>
      </c>
      <c r="H22" s="2">
        <f>ROUND(D22*E22,2)</f>
        <v>31160000.0</v>
      </c>
      <c r="I22" s="2">
        <f>ROUND(IF(E22&gt;F22,D22*(E22-F22),0),2)</f>
        <v>13870000.0</v>
      </c>
    </row>
    <row r="23">
      <c r="A23" t="inlineStr">
        <is>
          <t>Vake (Oy Apotti Ab)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6900.0</v>
      </c>
      <c r="F23" s="2">
        <v>1820.0</v>
      </c>
      <c r="G23" s="2">
        <v>279.1</v>
      </c>
      <c r="H23" s="2">
        <f>ROUND(D23*E23,2)</f>
        <v>33120000.0</v>
      </c>
      <c r="I23" s="2">
        <f>ROUND(IF(E23&gt;F23,D23*(E23-F23),0),2)</f>
        <v>24384000.0</v>
      </c>
    </row>
    <row r="24">
      <c r="A24" t="inlineStr">
        <is>
          <t>HUS-yhtymä (Oy Apotti Ab)</t>
        </is>
      </c>
      <c r="B24" t="inlineStr">
        <is>
          <t>48814000-EHR</t>
        </is>
      </c>
      <c r="C24" t="inlineStr">
        <is>
          <t>clinician-year</t>
        </is>
      </c>
      <c r="D24" s="2">
        <v>22000.0</v>
      </c>
      <c r="E24" s="2">
        <v>7450.0</v>
      </c>
      <c r="F24" s="2">
        <v>1820.0</v>
      </c>
      <c r="G24" s="2">
        <v>309.3</v>
      </c>
      <c r="H24" s="2">
        <f>ROUND(D24*E24,2)</f>
        <v>163900000.0</v>
      </c>
      <c r="I24" s="2">
        <f>ROUND(IF(E24&gt;F24,D24*(E24-F24),0),2)</f>
        <v>123860000.0</v>
      </c>
    </row>
    <row r="25">
      <c r="A25" t="inlineStr">
        <is>
          <t>Etelä-Pohjanmaa (Hyvaep)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178.0</v>
      </c>
      <c r="F25" s="2">
        <v>184.0</v>
      </c>
      <c r="G25" s="2">
        <v>0.0</v>
      </c>
      <c r="H25" s="2">
        <f>ROUND(D25*E25,2)</f>
        <v>145960000.0</v>
      </c>
      <c r="I25" s="2">
        <f>ROUND(IF(E25&gt;F25,D25*(E25-F25),0),2)</f>
        <v>0.0</v>
      </c>
    </row>
    <row r="26">
      <c r="A26" t="inlineStr">
        <is>
          <t>Satakunta (Sata-alue)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184.0</v>
      </c>
      <c r="F26" s="2">
        <v>184.0</v>
      </c>
      <c r="G26" s="2">
        <v>0.0</v>
      </c>
      <c r="H26" s="2">
        <f>ROUND(D26*E26,2)</f>
        <v>163760000.0</v>
      </c>
      <c r="I26" s="2">
        <f>ROUND(IF(E26&gt;F26,D26*(E26-F26),0),2)</f>
        <v>0.0</v>
      </c>
    </row>
    <row r="27">
      <c r="A27" t="inlineStr">
        <is>
          <t>Pirha (Pirkanmaa)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212.0</v>
      </c>
      <c r="F27" s="2">
        <v>184.0</v>
      </c>
      <c r="G27" s="2">
        <v>15.2</v>
      </c>
      <c r="H27" s="2">
        <f>ROUND(D27*E27,2)</f>
        <v>371000000.0</v>
      </c>
      <c r="I27" s="2">
        <f>ROUND(IF(E27&gt;F27,D27*(E27-F27),0),2)</f>
        <v>49000000.0</v>
      </c>
    </row>
    <row r="28">
      <c r="A28" t="inlineStr">
        <is>
          <t>Luvn (Länsi-Uusimaa)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238.0</v>
      </c>
      <c r="F28" s="2">
        <v>184.0</v>
      </c>
      <c r="G28" s="2">
        <v>29.3</v>
      </c>
      <c r="H28" s="2">
        <f>ROUND(D28*E28,2)</f>
        <v>337960000.0</v>
      </c>
      <c r="I28" s="2">
        <f>ROUND(IF(E28&gt;F28,D28*(E28-F28),0),2)</f>
        <v>76680000.0</v>
      </c>
    </row>
    <row r="29">
      <c r="A29" t="inlineStr">
        <is>
          <t>Helsinki (Sotepe)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254.0</v>
      </c>
      <c r="F29" s="2">
        <v>184.0</v>
      </c>
      <c r="G29" s="2">
        <v>38.0</v>
      </c>
      <c r="H29" s="2">
        <f>ROUND(D29*E29,2)</f>
        <v>533400000.0</v>
      </c>
      <c r="I29" s="2">
        <f>ROUND(IF(E29&gt;F29,D29*(E29-F29),0),2)</f>
        <v>147000000.0</v>
      </c>
    </row>
    <row r="30">
      <c r="A30" t="inlineStr">
        <is>
          <t>Vake (Vantaa-Kerava)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269.0</v>
      </c>
      <c r="F30" s="2">
        <v>184.0</v>
      </c>
      <c r="G30" s="2">
        <v>46.2</v>
      </c>
      <c r="H30" s="2">
        <f>ROUND(D30*E30,2)</f>
        <v>209820000.0</v>
      </c>
      <c r="I30" s="2">
        <f>ROUND(IF(E30&gt;F30,D30*(E30-F30),0),2)</f>
        <v>66300000.0</v>
      </c>
    </row>
    <row r="31">
      <c r="A31" t="inlineStr">
        <is>
          <t>Oulu / Pohde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35.5</v>
      </c>
      <c r="F33" s="2">
        <v>28.0</v>
      </c>
      <c r="G33" s="2">
        <v>26.8</v>
      </c>
      <c r="H33" s="2">
        <f>ROUND(D33*E33,2)</f>
        <v>31240000.0</v>
      </c>
      <c r="I33" s="2">
        <f>ROUND(IF(E33&gt;F33,D33*(E33-F33),0),2)</f>
        <v>6600000.0</v>
      </c>
    </row>
    <row r="34">
      <c r="A34" t="inlineStr">
        <is>
          <t>Keski-Suomi (Hyvaks)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44.0</v>
      </c>
      <c r="F34" s="2">
        <v>28.0</v>
      </c>
      <c r="G34" s="2">
        <v>57.1</v>
      </c>
      <c r="H34" s="2">
        <f>ROUND(D34*E34,2)</f>
        <v>31680000.0</v>
      </c>
      <c r="I34" s="2">
        <f>ROUND(IF(E34&gt;F34,D34*(E34-F34),0),2)</f>
        <v>11520000.0</v>
      </c>
    </row>
    <row r="35">
      <c r="A35" t="inlineStr">
        <is>
          <t>Lappi (Lapha)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58.0</v>
      </c>
      <c r="F35" s="2">
        <v>28.0</v>
      </c>
      <c r="G35" s="2">
        <v>107.1</v>
      </c>
      <c r="H35" s="2">
        <f>ROUND(D35*E35,2)</f>
        <v>37120000.0</v>
      </c>
      <c r="I35" s="2">
        <f>ROUND(IF(E35&gt;F35,D35*(E35-F35),0),2)</f>
        <v>19200000.0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2701617000.0</v>
      </c>
      <c r="I36" s="2">
        <f>SUM(I4:I35)</f>
        <v>711229000.0</v>
      </c>
    </row>
  </sheetData>
</worksheet>
</file>

<file path=xl/worksheets/sheet4.xml><?xml version="1.0" encoding="utf-8"?>
<worksheet xmlns="http://schemas.openxmlformats.org/spreadsheetml/2006/main">
  <cols>
    <col min="1" max="1" width="28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MARKKINAOIKEUS (MAO) &amp; HILMA 1–2 TARJOUKSEN KARTELLIHANKINNAT SEKÄ 0 € KKV-VALITUSPOHJAT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Jokainen alle 2 tarjouksen sopimus &gt;100 000 € luokassa, jossa on &gt;=5 pk-haastajaa, merkitään uudelleenkilpailutettavaksi.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MAO / Hilma -tapaus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PK-haastajat (kpl)</t>
        </is>
      </c>
      <c r="G3" t="inlineStr" s="1">
        <is>
          <t>Kilpailunrajoitus / Lukitusmekanismi</t>
        </is>
      </c>
      <c r="H3" t="inlineStr" s="1">
        <is>
          <t>Odotettu vuosisäästö (€/v)</t>
        </is>
      </c>
    </row>
    <row r="4">
      <c r="A4" t="inlineStr">
        <is>
          <t>MAO:154/2024 (KKV -&gt; Vake)</t>
        </is>
      </c>
      <c r="B4" t="inlineStr">
        <is>
          <t>Vantaan ja Keravan HVA (Vake)</t>
        </is>
      </c>
      <c r="C4" t="inlineStr">
        <is>
          <t>79211100-Payroll</t>
        </is>
      </c>
      <c r="D4" s="2">
        <v>6800000.0</v>
      </c>
      <c r="E4" s="2">
        <v>0</v>
      </c>
      <c r="F4" s="2">
        <v>24</v>
      </c>
      <c r="G4" t="inlineStr">
        <is>
          <t>Laiton suorahankinta 0,04 % näennäisellä sidosyksikköosakkeella (MAO:154/2024 &amp; KHO 8.10.2025 taltio 2250)</t>
        </is>
      </c>
      <c r="H4" s="2">
        <v>1700000.0</v>
      </c>
    </row>
    <row r="5">
      <c r="A5" t="inlineStr">
        <is>
          <t>MAO:292/2023 (Keski-Suomen HVA)</t>
        </is>
      </c>
      <c r="B5" t="inlineStr">
        <is>
          <t>Keski-Suomen HVA (Hyvaks)</t>
        </is>
      </c>
      <c r="C5" t="inlineStr">
        <is>
          <t>72260000-IT</t>
        </is>
      </c>
      <c r="D5" s="2">
        <v>2400000.0</v>
      </c>
      <c r="E5" s="2">
        <v>1</v>
      </c>
      <c r="F5" s="2">
        <v>18</v>
      </c>
      <c r="G5" t="inlineStr">
        <is>
          <t>Vaatimus olemassa olevasta Kanta-välikäsiliitynnästä ja sidosyksikköketjutuksesta (vain 1 toimittaja täyttää)</t>
        </is>
      </c>
      <c r="H5" s="2">
        <v>600000.0</v>
      </c>
    </row>
    <row r="6">
      <c r="A6" t="inlineStr">
        <is>
          <t>MAO:70/2024 (Lapin HVA)</t>
        </is>
      </c>
      <c r="B6" t="inlineStr">
        <is>
          <t>Lapin hyvinvointialue (Lapha)</t>
        </is>
      </c>
      <c r="C6" t="inlineStr">
        <is>
          <t>85121000-LocumMD</t>
        </is>
      </c>
      <c r="D6" s="2">
        <v>9500000.0</v>
      </c>
      <c r="E6" s="2">
        <v>1</v>
      </c>
      <c r="F6" s="2">
        <v>14</v>
      </c>
      <c r="G6" t="inlineStr">
        <is>
          <t>Kokonaisulkoistuspaketti (50 milj. EUR liikevaihtovaatimus sulkee lääkäri-pk-yritykset ulos, Hankintalaki 75 §)</t>
        </is>
      </c>
      <c r="H6" s="2">
        <v>2375000.0</v>
      </c>
    </row>
    <row r="7">
      <c r="A7" t="inlineStr">
        <is>
          <t>MAO:412/2023 (Pirkanmaan HVA)</t>
        </is>
      </c>
      <c r="B7" t="inlineStr">
        <is>
          <t>Pirkanmaan HVA (Pirha)</t>
        </is>
      </c>
      <c r="C7" t="inlineStr">
        <is>
          <t>48814000-EHR</t>
        </is>
      </c>
      <c r="D7" s="2">
        <v>11200000.0</v>
      </c>
      <c r="E7" s="2">
        <v>0</v>
      </c>
      <c r="F7" s="2">
        <v>16</v>
      </c>
      <c r="G7" t="inlineStr">
        <is>
          <t>Ketjutettu sidosyksikkösuorahankinta ja sopimuslaajennus ilman avointa kilpailutusta (Hankintalaki 136 §)</t>
        </is>
      </c>
      <c r="H7" s="2">
        <v>2800000.0</v>
      </c>
    </row>
    <row r="8">
      <c r="A8" t="inlineStr">
        <is>
          <t>MAO:112/2024 (Varsinais-Suomen HVA)</t>
        </is>
      </c>
      <c r="B8" t="inlineStr">
        <is>
          <t>Varsinais-Suomen HVA (Varha)</t>
        </is>
      </c>
      <c r="C8" t="inlineStr">
        <is>
          <t>85311100-ElderlyCare</t>
        </is>
      </c>
      <c r="D8" s="2">
        <v>14500000.0</v>
      </c>
      <c r="E8" s="2">
        <v>2</v>
      </c>
      <c r="F8" s="2">
        <v>32</v>
      </c>
      <c r="G8" t="inlineStr">
        <is>
          <t>Suuri kiinteistö- ja hoivakokonaisuus niputettu jakamatta osiin (Hankintalaki 75 §) — paikalliset pk-hoivakodit suljettu ulos</t>
        </is>
      </c>
      <c r="H8" s="2">
        <v>2320000.0</v>
      </c>
    </row>
    <row r="9">
      <c r="A9" t="inlineStr">
        <is>
          <t>MAO:38/2024 (Espoon kaupunki)</t>
        </is>
      </c>
      <c r="B9" t="inlineStr">
        <is>
          <t>Espoon kaupunki</t>
        </is>
      </c>
      <c r="C9" t="inlineStr">
        <is>
          <t>72222300-MuniIT</t>
        </is>
      </c>
      <c r="D9" s="2">
        <v>4200000.0</v>
      </c>
      <c r="E9" s="2">
        <v>0</v>
      </c>
      <c r="F9" s="2">
        <v>28</v>
      </c>
      <c r="G9" t="inlineStr">
        <is>
          <t>Suorahankinta Kuntien Tieralta 0,04 % omistusosuudella ilman tosiasiallista määräysvaltaa</t>
        </is>
      </c>
      <c r="H9" s="2">
        <v>1050000.0</v>
      </c>
    </row>
    <row r="10">
      <c r="A10" t="inlineStr">
        <is>
          <t>MAO:534/2023 (Etelä-Karjalan HVA)</t>
        </is>
      </c>
      <c r="B10" t="inlineStr">
        <is>
          <t>Etelä-Karjalan HVA (Ekhva)</t>
        </is>
      </c>
      <c r="C10" t="inlineStr">
        <is>
          <t>85121200-Radiology</t>
        </is>
      </c>
      <c r="D10" s="2">
        <v>3900000.0</v>
      </c>
      <c r="E10" s="2">
        <v>1</v>
      </c>
      <c r="F10" s="2">
        <v>11</v>
      </c>
      <c r="G10" t="inlineStr">
        <is>
          <t>Lyhyt tarjousaika ja paikallinen laitekantavaatimus estivät rinnakkaistarjoukset (vain 1 tarjous)</t>
        </is>
      </c>
      <c r="H10" s="2">
        <v>975000.0</v>
      </c>
    </row>
    <row r="11">
      <c r="A11" t="inlineStr">
        <is>
          <t>MAO:201/2024 (Pohjois-Savon HVA)</t>
        </is>
      </c>
      <c r="B11" t="inlineStr">
        <is>
          <t>Pohjois-Savon HVA (Pshyva)</t>
        </is>
      </c>
      <c r="C11" t="inlineStr">
        <is>
          <t>33100000-MedDevices</t>
        </is>
      </c>
      <c r="D11" s="2">
        <v>5600000.0</v>
      </c>
      <c r="E11" s="2">
        <v>1</v>
      </c>
      <c r="F11" s="2">
        <v>21</v>
      </c>
      <c r="G11" t="inlineStr">
        <is>
          <t>Tekniset eritelmät (Hankintalaki 71 §) kopioitu suoraan nykyisen toimittajan tuoteluettelosta</t>
        </is>
      </c>
      <c r="H11" s="2">
        <v>1400000.0</v>
      </c>
    </row>
    <row r="12">
      <c r="A12" t="inlineStr">
        <is>
          <t>MAO:485/2024 (HUS-yhtymä)</t>
        </is>
      </c>
      <c r="B12" t="inlineStr">
        <is>
          <t>HUS-yhtymä</t>
        </is>
      </c>
      <c r="C12" t="inlineStr">
        <is>
          <t>48814000-EHR</t>
        </is>
      </c>
      <c r="D12" s="2">
        <v>18500000.0</v>
      </c>
      <c r="E12" s="2">
        <v>0</v>
      </c>
      <c r="F12" s="2">
        <v>19</v>
      </c>
      <c r="G12" t="inlineStr">
        <is>
          <t>Jatkuvat lisätilaukset ja alihankintaketjutukset ilman avointa kilpailutusta (Hankintalaki 40 § &amp; 136 §)</t>
        </is>
      </c>
      <c r="H12" s="2">
        <v>4625000.0</v>
      </c>
    </row>
    <row r="13">
      <c r="A13" t="inlineStr">
        <is>
          <t>MAO:618/2024 (Pohjois-Pohjanmaan HVA)</t>
        </is>
      </c>
      <c r="B13" t="inlineStr">
        <is>
          <t>Pohjois-Pohjanmaan HVA (Pohde)</t>
        </is>
      </c>
      <c r="C13" t="inlineStr">
        <is>
          <t>60130000-SoteTransport</t>
        </is>
      </c>
      <c r="D13" s="2">
        <v>7400000.0</v>
      </c>
      <c r="E13" s="2">
        <v>1</v>
      </c>
      <c r="F13" s="2">
        <v>29</v>
      </c>
      <c r="G13" t="inlineStr">
        <is>
          <t>Kuljetusten välitysjärjestelmä ja kalustovaatimus niputettu yhdeksi suurpaketiksi (sulkee paikalliset taksiyrittäjät ulos)</t>
        </is>
      </c>
      <c r="H13" s="2">
        <v>1850000.0</v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MALLI: 1-CLICK KKV-TOIMENPIDEPYYNTÖ (0 € KÄSITTELYMAKSU — HANKINTALAKI 139 §)</t>
        </is>
      </c>
      <c r="B15" t="inlineStr">
        <is>
          <t>TOIMENPIDEPYYNTÖ (Hankintalaki 139 §): Laiton suorahankinta / näennäinen sidosyksikköasema — Istekki Oy (2292633-0) / Vähemmistöomistaja-HVA:t &amp; &gt;150 kuntaa (pääomistajat Pirha &amp; Pshyva)</t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VASTAANOTTAJA: Kilpailu- ja kuluttajavirasto (KKV) — Hankintojen valvonta (kirjaamo@kkv.fi)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>ASIA: TOIMENPIDEPYYNTÖ (Hankintalaki 139 §): Laiton suorahankinta / näennäinen sidosyksikköasema — Istekki Oy (2292633-0) / Vähemmistöomistaja-HVA:t &amp; &gt;150 kuntaa (pääomistajat Pirha &amp; Pshyva)</t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KÄSITTELYMAKSU: 0,00 € (Hankintalaki 1397/2016 § 139 mukainen valvontailmoitus)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1. VALVONTAILMOITUKSEN KOHDE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Hankintayksikkö / ostajaryhmä: Vähemmistöomistaja-HVA:t &amp; &gt;150 kuntaa (pääomistajat Pirha &amp; Pshyva)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Välikätenä toimiva yksikkö: Istekki Oy (Y-tunnus: 2292633-0)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Hankintayksikön omistusosuus: 0.40 % (lakisääteinen sidosyksikköraja: 10.0 %)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Tosiasialliset alihankkijat / toimittajat: Tieto Finland Oy (1962361-1) / CGI Suomi Oy (0357502-9) / ATEA Finland Oy (0596816-8)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>- Suorahankintojen vuotuinen arvo: 240.00 milj. EUR / vuosi</t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- Arvioitu ylihinta / välikäsikate veronmaksajille: 86.39 milj. EUR / vuosi (välikäsikate 24 % + kilpailuttamaton alihankintapreemio 26 %)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>2. OIKEUDELLINEN PERUSTE (HANKINTALAKI 15 §, MAO:154/2024 JA KHO 8.10.2025 TALTIO 2250)</t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Markkinaoikeuden päätöksessä MAO:154/2024 sekä korkeimman hallinto-oikeuden päätöksessä KHO 8.10.2025 taltio 2250 on vahvistettu, ettei muodollinen pienomistus (0.40 %) ja näennäinen nimitysoikeus ilman todellista päätösvaltaa täytä hankintalain 15 §:n edellytyksiä. Lisäksi hankintalain uudistuksen (HE 2/2026 vp) mukainen 10 prosentin vähimmäisomistusosuusraja estää keinotekoiset kuoriosakejärjestelyt.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Koska tilaaja (Vähemmistöomistaja-HVA:t &amp; &gt;150 kuntaa (pääomistajat Pirha &amp; Pshyva)) omistaa yhtiöstä Istekki Oy (2292633-0) ainoastaan 0.40 %, yhtiö ei ole kyseisille vähemmistöosakkaille hankintalain 15 §:ssä tarkoitettu sidosyksikkö. Lisäksi Istekki Oy ketjuttaa hankinnat ilman avointa kilpailutusta edelleen yksityisille suuryrityksille (Tieto Finland Oy (1962361-1) / CGI Suomi Oy (0357502-9) / ATEA Finland Oy (0596816-8)). Jokainen ilman kilpailutusta tehty tilaus on siten hankintalain 15 §:n ja 40 §:n vastainen LAITON SUORAHANKINTA.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3. VAATIMUKSET KILPAILU- JA KULUTTAJAVIRASTOLLE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Pyydämme Kilpailu- ja kuluttajavirastoa hankintalain 139–141 §:n nojalla: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1) Käynnistämään välittömästi tutkinnan hankintayksikön (Vähemmistöomistaja-HVA:t &amp; &gt;150 kuntaa (pääomistajat Pirha &amp; Pshyva)) ja toimittajan (Istekki Oy, Y-tunnus 2292633-0) välisistä suorahankinnoista ja ketjutetuista alihankintasopimuksista (240.00 milj. EUR/v);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  <row r="38">
      <c r="A38" t="inlineStr">
        <is>
          <t>2) Esittämään markkinaoikeudelle hankintalain 156 §:n mukaisen TEHOTTOMUUSSEURAAMUKSEN määräämistä lainvastaisille suorahankintasopimuksille;</t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</row>
    <row r="39">
      <c r="A39" t="inlineStr">
        <is>
          <t>3) Esittämään markkinaoikeudelle hankintalain 158 §:n mukaisen SEURAAMUSMAKSUN määräämistä sekä sopimuskauden lyhentämistä siten, että palvelut avataan välittömästi avoimeen kilpailutukseen.</t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</row>
  </sheetData>
</worksheet>
</file>

<file path=xl/worksheets/sheet5.xml><?xml version="1.0" encoding="utf-8"?>
<worksheet xmlns="http://schemas.openxmlformats.org/spreadsheetml/2006/main">
  <cols>
    <col min="1" max="1" width="42" customWidth="1"/>
    <col min="2" max="2" width="20" customWidth="1"/>
    <col min="3" max="3" width="18" customWidth="1"/>
    <col min="4" max="4" width="32" customWidth="1"/>
    <col min="5" max="5" width="20" customWidth="1"/>
    <col min="6" max="6" width="32" customWidth="1"/>
    <col min="7" max="7" width="48" customWidth="1"/>
  </cols>
  <sheetData>
    <row r="1">
      <c r="A1" t="inlineStr" s="1">
        <is>
          <t>KAIKKI 43 SUURINTA JULKISTA OSTAJAA (21 HYVINVOINTIALUETTA + HUS + 21 SUURINTA KAUPUNKIA)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</row>
    <row r="2">
      <c r="A2" t="inlineStr">
        <is>
          <t>Julkisuuslain (621/1999) 13 § ja 16.3 § velvoittaa jokaisen viranomaisen luovuttamaan ostolaskudatan 14 vrk kuluessa.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</row>
    <row r="3">
      <c r="A3" t="inlineStr" s="1">
        <is>
          <t>Julkinen hankintayksikkö</t>
        </is>
      </c>
      <c r="B3" t="inlineStr" s="1">
        <is>
          <t>Tyyppi (HVA / HUS / Kunta)</t>
        </is>
      </c>
      <c r="C3" t="inlineStr" s="1">
        <is>
          <t>PRH Y-tunnus (Modulo-11)</t>
        </is>
      </c>
      <c r="D3" t="inlineStr" s="1">
        <is>
          <t>Virallinen kirjaamo-sähköposti</t>
        </is>
      </c>
      <c r="E3" t="inlineStr" s="1">
        <is>
          <t>Ulkoiset ostot (M€/v)</t>
        </is>
      </c>
      <c r="F3" t="inlineStr" s="1">
        <is>
          <t>Julkaiseeko avoimen ostolaskudatan?</t>
        </is>
      </c>
      <c r="G3" t="inlineStr" s="1">
        <is>
          <t>Keskeiset sidosyksikkö- ja in-house-yhtiöt</t>
        </is>
      </c>
    </row>
    <row r="4">
      <c r="A4" t="inlineStr">
        <is>
          <t>HUS-yhtymä</t>
        </is>
      </c>
      <c r="B4" t="inlineStr">
        <is>
          <t>HUS</t>
        </is>
      </c>
      <c r="C4" t="inlineStr">
        <is>
          <t>1567535-0</t>
        </is>
      </c>
      <c r="D4" t="inlineStr">
        <is>
          <t>kirjaamo@hus.fi</t>
        </is>
      </c>
      <c r="E4" s="2">
        <v>1480.0</v>
      </c>
      <c r="F4" t="inlineStr">
        <is>
          <t>KYLLÄ</t>
        </is>
      </c>
      <c r="G4" t="inlineStr">
        <is>
          <t>Oy Apotti Ab, Valtori</t>
        </is>
      </c>
    </row>
    <row r="5">
      <c r="A5" t="inlineStr">
        <is>
          <t>Pirkanmaan hyvinvointialue (Pirha)</t>
        </is>
      </c>
      <c r="B5" t="inlineStr">
        <is>
          <t>HVA</t>
        </is>
      </c>
      <c r="C5" t="inlineStr">
        <is>
          <t>3221308-6</t>
        </is>
      </c>
      <c r="D5" t="inlineStr">
        <is>
          <t>kirjaamo@pirha.fi</t>
        </is>
      </c>
      <c r="E5" s="2">
        <v>1320.0</v>
      </c>
      <c r="F5" t="inlineStr">
        <is>
          <t>KYLLÄ</t>
        </is>
      </c>
      <c r="G5" t="inlineStr">
        <is>
          <t>Istekki Oy, Fimlab Oy, Tuomi Logistiikka Oy, Monetra</t>
        </is>
      </c>
    </row>
    <row r="6">
      <c r="A6" t="inlineStr">
        <is>
          <t>Varsinais-Suomen hyvinvointialue (Varha)</t>
        </is>
      </c>
      <c r="B6" t="inlineStr">
        <is>
          <t>HVA</t>
        </is>
      </c>
      <c r="C6" t="inlineStr">
        <is>
          <t>3221065-1</t>
        </is>
      </c>
      <c r="D6" t="inlineStr">
        <is>
          <t>kirjaamo@varha.fi</t>
        </is>
      </c>
      <c r="E6" s="2">
        <v>1190.0</v>
      </c>
      <c r="F6" t="inlineStr">
        <is>
          <t>EI (Vaadi JulkL 13 § tietopyynnöllä)</t>
        </is>
      </c>
      <c r="G6" t="inlineStr">
        <is>
          <t>2M-IT Oy, Numera/Sarastia, Kaarea Oy</t>
        </is>
      </c>
    </row>
    <row r="7">
      <c r="A7" t="inlineStr">
        <is>
          <t>Pohjois-Pohjanmaan hyvinvointialue (Pohde)</t>
        </is>
      </c>
      <c r="B7" t="inlineStr">
        <is>
          <t>HVA</t>
        </is>
      </c>
      <c r="C7" t="inlineStr">
        <is>
          <t>3221326-2</t>
        </is>
      </c>
      <c r="D7" t="inlineStr">
        <is>
          <t>kirjaamo@pohde.fi</t>
        </is>
      </c>
      <c r="E7" s="2">
        <v>1080.0</v>
      </c>
      <c r="F7" t="inlineStr">
        <is>
          <t>EI (Vaadi JulkL 13 § tietopyynnöllä)</t>
        </is>
      </c>
      <c r="G7" t="inlineStr">
        <is>
          <t>Monetra Oy, Istekki Oy, Esko Systems Oy</t>
        </is>
      </c>
    </row>
    <row r="8">
      <c r="A8" t="inlineStr">
        <is>
          <t>Länsi-Uudenmaan hyvinvointialue (Luvn)</t>
        </is>
      </c>
      <c r="B8" t="inlineStr">
        <is>
          <t>HVA</t>
        </is>
      </c>
      <c r="C8" t="inlineStr">
        <is>
          <t>3221347-3</t>
        </is>
      </c>
      <c r="D8" t="inlineStr">
        <is>
          <t>kirjaamo@luvn.fi</t>
        </is>
      </c>
      <c r="E8" s="2">
        <v>1040.0</v>
      </c>
      <c r="F8" t="inlineStr">
        <is>
          <t>EI (Vaadi JulkL 13 § tietopyynnöllä)</t>
        </is>
      </c>
      <c r="G8" t="inlineStr">
        <is>
          <t>2M-IT Oy, Numera/Sarastia, Tiera Oy</t>
        </is>
      </c>
    </row>
    <row r="9">
      <c r="A9" t="inlineStr">
        <is>
          <t>Vantaan ja Keravan hyvinvointialue (Vake)</t>
        </is>
      </c>
      <c r="B9" t="inlineStr">
        <is>
          <t>HVA</t>
        </is>
      </c>
      <c r="C9" t="inlineStr">
        <is>
          <t>3221356-1</t>
        </is>
      </c>
      <c r="D9" t="inlineStr">
        <is>
          <t>kirjaamo@vakehyva.fi</t>
        </is>
      </c>
      <c r="E9" s="2">
        <v>790.0</v>
      </c>
      <c r="F9" t="inlineStr">
        <is>
          <t>EI (Vaadi JulkL 13 § tietopyynnöllä)</t>
        </is>
      </c>
      <c r="G9" t="inlineStr">
        <is>
          <t>Oy Apotti Ab, Numera/Sarastia</t>
        </is>
      </c>
    </row>
    <row r="10">
      <c r="A10" t="inlineStr">
        <is>
          <t>Keski-Suomen hyvinvointialue (Hyvaks)</t>
        </is>
      </c>
      <c r="B10" t="inlineStr">
        <is>
          <t>HVA</t>
        </is>
      </c>
      <c r="C10" t="inlineStr">
        <is>
          <t>3221318-2</t>
        </is>
      </c>
      <c r="D10" t="inlineStr">
        <is>
          <t>kirjaamo@hyvaks.fi</t>
        </is>
      </c>
      <c r="E10" s="2">
        <v>690.0</v>
      </c>
      <c r="F10" t="inlineStr">
        <is>
          <t>EI (Vaadi JulkL 13 § tietopyynnöllä)</t>
        </is>
      </c>
      <c r="G10" t="inlineStr">
        <is>
          <t>Istekki Oy, Monetra Oy, 2M-IT Oy, Fimlab Oy</t>
        </is>
      </c>
    </row>
    <row r="11">
      <c r="A11" t="inlineStr">
        <is>
          <t>Pohjois-Savon hyvinvointialue (Pshyva)</t>
        </is>
      </c>
      <c r="B11" t="inlineStr">
        <is>
          <t>HVA</t>
        </is>
      </c>
      <c r="C11" t="inlineStr">
        <is>
          <t>3221316-6</t>
        </is>
      </c>
      <c r="D11" t="inlineStr">
        <is>
          <t>kirjaamo@pshyva.fi</t>
        </is>
      </c>
      <c r="E11" s="2">
        <v>660.0</v>
      </c>
      <c r="F11" t="inlineStr">
        <is>
          <t>EI (Vaadi JulkL 13 § tietopyynnöllä)</t>
        </is>
      </c>
      <c r="G11" t="inlineStr">
        <is>
          <t>Istekki Oy, ISLAB, Sansia Oy, Numera/Sarastia</t>
        </is>
      </c>
    </row>
    <row r="12">
      <c r="A12" t="inlineStr">
        <is>
          <t>Satakunnan hyvinvointialue (Sata)</t>
        </is>
      </c>
      <c r="B12" t="inlineStr">
        <is>
          <t>HVA</t>
        </is>
      </c>
      <c r="C12" t="inlineStr">
        <is>
          <t>3221302-7</t>
        </is>
      </c>
      <c r="D12" t="inlineStr">
        <is>
          <t>kirjaamo@sata.fi</t>
        </is>
      </c>
      <c r="E12" s="2">
        <v>610.0</v>
      </c>
      <c r="F12" t="inlineStr">
        <is>
          <t>EI (Vaadi JulkL 13 § tietopyynnöllä)</t>
        </is>
      </c>
      <c r="G12" t="inlineStr">
        <is>
          <t>2M-IT Oy, Numera/Sarastia</t>
        </is>
      </c>
    </row>
    <row r="13">
      <c r="A13" t="inlineStr">
        <is>
          <t>Päijät-Hämeen hyvinvointialue (Päijät-Sote)</t>
        </is>
      </c>
      <c r="B13" t="inlineStr">
        <is>
          <t>HVA</t>
        </is>
      </c>
      <c r="C13" t="inlineStr">
        <is>
          <t>3221309-4</t>
        </is>
      </c>
      <c r="D13" t="inlineStr">
        <is>
          <t>kirjaamo@paijatha.fi</t>
        </is>
      </c>
      <c r="E13" s="2">
        <v>590.0</v>
      </c>
      <c r="F13" t="inlineStr">
        <is>
          <t>EI (Vaadi JulkL 13 § tietopyynnöllä)</t>
        </is>
      </c>
      <c r="G13" t="inlineStr">
        <is>
          <t>2M-IT Oy, Fimlab Oy, Numera/Sarastia</t>
        </is>
      </c>
    </row>
    <row r="14">
      <c r="A14" t="inlineStr">
        <is>
          <t>Lapin hyvinvointialue (Lapha)</t>
        </is>
      </c>
      <c r="B14" t="inlineStr">
        <is>
          <t>HVA</t>
        </is>
      </c>
      <c r="C14" t="inlineStr">
        <is>
          <t>3221332-6</t>
        </is>
      </c>
      <c r="D14" t="inlineStr">
        <is>
          <t>kirjaamo@lapha.fi</t>
        </is>
      </c>
      <c r="E14" s="2">
        <v>580.0</v>
      </c>
      <c r="F14" t="inlineStr">
        <is>
          <t>EI (Vaadi JulkL 13 § tietopyynnöllä)</t>
        </is>
      </c>
      <c r="G14" t="inlineStr">
        <is>
          <t>2M-IT Oy, Numera/Sarastia, Tiera Oy</t>
        </is>
      </c>
    </row>
    <row r="15">
      <c r="A15" t="inlineStr">
        <is>
          <t>Keski-Uudenmaan hyvinvointialue (Keusote)</t>
        </is>
      </c>
      <c r="B15" t="inlineStr">
        <is>
          <t>HVA</t>
        </is>
      </c>
      <c r="C15" t="inlineStr">
        <is>
          <t>3221346-5</t>
        </is>
      </c>
      <c r="D15" t="inlineStr">
        <is>
          <t>kirjaamo@keusote.fi</t>
        </is>
      </c>
      <c r="E15" s="2">
        <v>540.0</v>
      </c>
      <c r="F15" t="inlineStr">
        <is>
          <t>EI (Vaadi JulkL 13 § tietopyynnöllä)</t>
        </is>
      </c>
      <c r="G15" t="inlineStr">
        <is>
          <t>2M-IT Oy, Numera/Sarastia, Tiera Oy</t>
        </is>
      </c>
    </row>
    <row r="16">
      <c r="A16" t="inlineStr">
        <is>
          <t>Kanta-Hämeen hyvinvointialue (Oma Häme)</t>
        </is>
      </c>
      <c r="B16" t="inlineStr">
        <is>
          <t>HVA</t>
        </is>
      </c>
      <c r="C16" t="inlineStr">
        <is>
          <t>3221307-8</t>
        </is>
      </c>
      <c r="D16" t="inlineStr">
        <is>
          <t>kirjaamo@omahame.fi</t>
        </is>
      </c>
      <c r="E16" s="2">
        <v>495.0</v>
      </c>
      <c r="F16" t="inlineStr">
        <is>
          <t>EI (Vaadi JulkL 13 § tietopyynnöllä)</t>
        </is>
      </c>
      <c r="G16" t="inlineStr">
        <is>
          <t>2M-IT Oy, Numera/Sarastia, Fimlab Oy</t>
        </is>
      </c>
    </row>
    <row r="17">
      <c r="A17" t="inlineStr">
        <is>
          <t>Etelä-Pohjanmaan hyvinvointialue (Hyvaep)</t>
        </is>
      </c>
      <c r="B17" t="inlineStr">
        <is>
          <t>HVA</t>
        </is>
      </c>
      <c r="C17" t="inlineStr">
        <is>
          <t>3221323-8</t>
        </is>
      </c>
      <c r="D17" t="inlineStr">
        <is>
          <t>kirjaamo@hyvaep.fi</t>
        </is>
      </c>
      <c r="E17" s="2">
        <v>490.0</v>
      </c>
      <c r="F17" t="inlineStr">
        <is>
          <t>EI (Vaadi JulkL 13 § tietopyynnöllä)</t>
        </is>
      </c>
      <c r="G17" t="inlineStr">
        <is>
          <t>2M-IT Oy, Istekki Oy, Numera/Sarastia</t>
        </is>
      </c>
    </row>
    <row r="18">
      <c r="A18" t="inlineStr">
        <is>
          <t>Kymenlaakson hyvinvointialue (Kymenhva)</t>
        </is>
      </c>
      <c r="B18" t="inlineStr">
        <is>
          <t>HVA</t>
        </is>
      </c>
      <c r="C18" t="inlineStr">
        <is>
          <t>3221311-5</t>
        </is>
      </c>
      <c r="D18" t="inlineStr">
        <is>
          <t>kirjaamo@kymenhva.fi</t>
        </is>
      </c>
      <c r="E18" s="2">
        <v>480.0</v>
      </c>
      <c r="F18" t="inlineStr">
        <is>
          <t>EI (Vaadi JulkL 13 § tietopyynnöllä)</t>
        </is>
      </c>
      <c r="G18" t="inlineStr">
        <is>
          <t>2M-IT Oy, Meita Oy, Numera/Sarastia</t>
        </is>
      </c>
    </row>
    <row r="19">
      <c r="A19" t="inlineStr">
        <is>
          <t>Pohjois-Karjalan hyvinvointialue (Siun sote)</t>
        </is>
      </c>
      <c r="B19" t="inlineStr">
        <is>
          <t>HVA</t>
        </is>
      </c>
      <c r="C19" t="inlineStr">
        <is>
          <t>3221317-4</t>
        </is>
      </c>
      <c r="D19" t="inlineStr">
        <is>
          <t>kirjaamo@siunsote.fi</t>
        </is>
      </c>
      <c r="E19" s="2">
        <v>460.0</v>
      </c>
      <c r="F19" t="inlineStr">
        <is>
          <t>EI (Vaadi JulkL 13 § tietopyynnöllä)</t>
        </is>
      </c>
      <c r="G19" t="inlineStr">
        <is>
          <t>Istekki Oy, Polkka Oy, ISLAB</t>
        </is>
      </c>
    </row>
    <row r="20">
      <c r="A20" t="inlineStr">
        <is>
          <t>Pohjanmaan hyvinvointialue (Österbotten)</t>
        </is>
      </c>
      <c r="B20" t="inlineStr">
        <is>
          <t>HVA</t>
        </is>
      </c>
      <c r="C20" t="inlineStr">
        <is>
          <t>3221324-6</t>
        </is>
      </c>
      <c r="D20" t="inlineStr">
        <is>
          <t>kirjaamo@ovph.fi</t>
        </is>
      </c>
      <c r="E20" s="2">
        <v>440.0</v>
      </c>
      <c r="F20" t="inlineStr">
        <is>
          <t>EI (Vaadi JulkL 13 § tietopyynnöllä)</t>
        </is>
      </c>
      <c r="G20" t="inlineStr">
        <is>
          <t>2M-IT Oy, Fimlab Oy, Numera/Sarastia</t>
        </is>
      </c>
    </row>
    <row r="21">
      <c r="A21" t="inlineStr">
        <is>
          <t>Etelä-Savon hyvinvointialue (Eloisa)</t>
        </is>
      </c>
      <c r="B21" t="inlineStr">
        <is>
          <t>HVA</t>
        </is>
      </c>
      <c r="C21" t="inlineStr">
        <is>
          <t>3221315-8</t>
        </is>
      </c>
      <c r="D21" t="inlineStr">
        <is>
          <t>kirjaamo@etelasavonha.fi</t>
        </is>
      </c>
      <c r="E21" s="2">
        <v>410.0</v>
      </c>
      <c r="F21" t="inlineStr">
        <is>
          <t>EI (Vaadi JulkL 13 § tietopyynnöllä)</t>
        </is>
      </c>
      <c r="G21" t="inlineStr">
        <is>
          <t>Istekki Oy, Meita Oy, ISLAB</t>
        </is>
      </c>
    </row>
    <row r="22">
      <c r="A22" t="inlineStr">
        <is>
          <t>Etelä-Karjalan hyvinvointialue (Ekhva)</t>
        </is>
      </c>
      <c r="B22" t="inlineStr">
        <is>
          <t>HVA</t>
        </is>
      </c>
      <c r="C22" t="inlineStr">
        <is>
          <t>3221313-1</t>
        </is>
      </c>
      <c r="D22" t="inlineStr">
        <is>
          <t>kirjaamo@ekhva.fi</t>
        </is>
      </c>
      <c r="E22" s="2">
        <v>385.0</v>
      </c>
      <c r="F22" t="inlineStr">
        <is>
          <t>EI (Vaadi JulkL 13 § tietopyynnöllä)</t>
        </is>
      </c>
      <c r="G22" t="inlineStr">
        <is>
          <t>Meita Oy, 2M-IT Oy, Numera/Sarastia</t>
        </is>
      </c>
    </row>
    <row r="23">
      <c r="A23" t="inlineStr">
        <is>
          <t>Itä-Uudenmaan hyvinvointialue (Itä-Uusimaa)</t>
        </is>
      </c>
      <c r="B23" t="inlineStr">
        <is>
          <t>HVA</t>
        </is>
      </c>
      <c r="C23" t="inlineStr">
        <is>
          <t>3221339-3</t>
        </is>
      </c>
      <c r="D23" t="inlineStr">
        <is>
          <t>kirjaamo@itauusimaa.fi</t>
        </is>
      </c>
      <c r="E23" s="2">
        <v>275.0</v>
      </c>
      <c r="F23" t="inlineStr">
        <is>
          <t>EI (Vaadi JulkL 13 § tietopyynnöllä)</t>
        </is>
      </c>
      <c r="G23" t="inlineStr">
        <is>
          <t>2M-IT Oy, Numera/Sarastia, Tiera Oy</t>
        </is>
      </c>
    </row>
    <row r="24">
      <c r="A24" t="inlineStr">
        <is>
          <t>Kainuun hyvinvointialue (Kainuu)</t>
        </is>
      </c>
      <c r="B24" t="inlineStr">
        <is>
          <t>HVA</t>
        </is>
      </c>
      <c r="C24" t="inlineStr">
        <is>
          <t>3221331-8</t>
        </is>
      </c>
      <c r="D24" t="inlineStr">
        <is>
          <t>kirjaamo@kainuu.fi</t>
        </is>
      </c>
      <c r="E24" s="2">
        <v>250.0</v>
      </c>
      <c r="F24" t="inlineStr">
        <is>
          <t>EI (Vaadi JulkL 13 § tietopyynnöllä)</t>
        </is>
      </c>
      <c r="G24" t="inlineStr">
        <is>
          <t>Istekki Oy, Monetra Oy, Tiera Oy</t>
        </is>
      </c>
    </row>
    <row r="25">
      <c r="A25" t="inlineStr">
        <is>
          <t>Keski-Pohjanmaan hyvinvointialue (Soite)</t>
        </is>
      </c>
      <c r="B25" t="inlineStr">
        <is>
          <t>HVA</t>
        </is>
      </c>
      <c r="C25" t="inlineStr">
        <is>
          <t>3221325-4</t>
        </is>
      </c>
      <c r="D25" t="inlineStr">
        <is>
          <t>kirjaamo@soite.fi</t>
        </is>
      </c>
      <c r="E25" s="2">
        <v>235.0</v>
      </c>
      <c r="F25" t="inlineStr">
        <is>
          <t>EI (Vaadi JulkL 13 § tietopyynnöllä)</t>
        </is>
      </c>
      <c r="G25" t="inlineStr">
        <is>
          <t>2M-IT Oy, Tiera Oy</t>
        </is>
      </c>
    </row>
    <row r="26">
      <c r="A26" t="inlineStr">
        <is>
          <t>Helsingin kaupunki</t>
        </is>
      </c>
      <c r="B26" t="inlineStr">
        <is>
          <t>Kunta</t>
        </is>
      </c>
      <c r="C26" t="inlineStr">
        <is>
          <t>0201256-6</t>
        </is>
      </c>
      <c r="D26" t="inlineStr">
        <is>
          <t>helsinki.kirjaamo@hel.fi</t>
        </is>
      </c>
      <c r="E26" s="2">
        <v>2450.0</v>
      </c>
      <c r="F26" t="inlineStr">
        <is>
          <t>KYLLÄ</t>
        </is>
      </c>
      <c r="G26" t="inlineStr">
        <is>
          <t>Oy Apotti Ab, Tiera Oy</t>
        </is>
      </c>
    </row>
    <row r="27">
      <c r="A27" t="inlineStr">
        <is>
          <t>Espoon kaupunki</t>
        </is>
      </c>
      <c r="B27" t="inlineStr">
        <is>
          <t>Kunta</t>
        </is>
      </c>
      <c r="C27" t="inlineStr">
        <is>
          <t>0101263-6</t>
        </is>
      </c>
      <c r="D27" t="inlineStr">
        <is>
          <t>kirjaamo@espoo.fi</t>
        </is>
      </c>
      <c r="E27" s="2">
        <v>1120.0</v>
      </c>
      <c r="F27" t="inlineStr">
        <is>
          <t>KYLLÄ</t>
        </is>
      </c>
      <c r="G27" t="inlineStr">
        <is>
          <t>Tiera Oy, Numera/Sarastia</t>
        </is>
      </c>
    </row>
    <row r="28">
      <c r="A28" t="inlineStr">
        <is>
          <t>Tampereen kaupunki</t>
        </is>
      </c>
      <c r="B28" t="inlineStr">
        <is>
          <t>Kunta</t>
        </is>
      </c>
      <c r="C28" t="inlineStr">
        <is>
          <t>0211675-2</t>
        </is>
      </c>
      <c r="D28" t="inlineStr">
        <is>
          <t>kirjaamo@tampere.fi</t>
        </is>
      </c>
      <c r="E28" s="2">
        <v>980.0</v>
      </c>
      <c r="F28" t="inlineStr">
        <is>
          <t>KYLLÄ</t>
        </is>
      </c>
      <c r="G28" t="inlineStr">
        <is>
          <t>Monetra Pirkanmaa, Istekki Oy, Tuomi Logistiikka Oy</t>
        </is>
      </c>
    </row>
    <row r="29">
      <c r="A29" t="inlineStr">
        <is>
          <t>Vantaan kaupunki</t>
        </is>
      </c>
      <c r="B29" t="inlineStr">
        <is>
          <t>Kunta</t>
        </is>
      </c>
      <c r="C29" t="inlineStr">
        <is>
          <t>0124610-9</t>
        </is>
      </c>
      <c r="D29" t="inlineStr">
        <is>
          <t>kirjaamo@vantaa.fi</t>
        </is>
      </c>
      <c r="E29" s="2">
        <v>890.0</v>
      </c>
      <c r="F29" t="inlineStr">
        <is>
          <t>KYLLÄ</t>
        </is>
      </c>
      <c r="G29" t="inlineStr">
        <is>
          <t>Tiera Oy, Numera/Sarastia</t>
        </is>
      </c>
    </row>
    <row r="30">
      <c r="A30" t="inlineStr">
        <is>
          <t>Oulun kaupunki</t>
        </is>
      </c>
      <c r="B30" t="inlineStr">
        <is>
          <t>Kunta</t>
        </is>
      </c>
      <c r="C30" t="inlineStr">
        <is>
          <t>0187690-1</t>
        </is>
      </c>
      <c r="D30" t="inlineStr">
        <is>
          <t>kirjaamo@ouka.fi</t>
        </is>
      </c>
      <c r="E30" s="2">
        <v>740.0</v>
      </c>
      <c r="F30" t="inlineStr">
        <is>
          <t>KYLLÄ</t>
        </is>
      </c>
      <c r="G30" t="inlineStr">
        <is>
          <t>Monetra Oulu Oy, Istekki Oy, Tiera Oy</t>
        </is>
      </c>
    </row>
    <row r="31">
      <c r="A31" t="inlineStr">
        <is>
          <t>Turun kaupunki</t>
        </is>
      </c>
      <c r="B31" t="inlineStr">
        <is>
          <t>Kunta</t>
        </is>
      </c>
      <c r="C31" t="inlineStr">
        <is>
          <t>0204819-8</t>
        </is>
      </c>
      <c r="D31" t="inlineStr">
        <is>
          <t>kirjaamo@turku.fi</t>
        </is>
      </c>
      <c r="E31" s="2">
        <v>720.0</v>
      </c>
      <c r="F31" t="inlineStr">
        <is>
          <t>KYLLÄ</t>
        </is>
      </c>
      <c r="G31" t="inlineStr">
        <is>
          <t>Kaarea Oy, Tiera Oy, Numera/Sarastia</t>
        </is>
      </c>
    </row>
    <row r="32">
      <c r="A32" t="inlineStr">
        <is>
          <t>Jyväskylän kaupunki</t>
        </is>
      </c>
      <c r="B32" t="inlineStr">
        <is>
          <t>Kunta</t>
        </is>
      </c>
      <c r="C32" t="inlineStr">
        <is>
          <t>0174666-4</t>
        </is>
      </c>
      <c r="D32" t="inlineStr">
        <is>
          <t>kirjaamo@jyvaskyla.fi</t>
        </is>
      </c>
      <c r="E32" s="2">
        <v>480.0</v>
      </c>
      <c r="F32" t="inlineStr">
        <is>
          <t>KYLLÄ</t>
        </is>
      </c>
      <c r="G32" t="inlineStr">
        <is>
          <t>Monetra Keski-Suomi Oy, Istekki Oy, Tiera Oy</t>
        </is>
      </c>
    </row>
    <row r="33">
      <c r="A33" t="inlineStr">
        <is>
          <t>Kuopion kaupunki</t>
        </is>
      </c>
      <c r="B33" t="inlineStr">
        <is>
          <t>Kunta</t>
        </is>
      </c>
      <c r="C33" t="inlineStr">
        <is>
          <t>0171450-7</t>
        </is>
      </c>
      <c r="D33" t="inlineStr">
        <is>
          <t>kirjaamo@kuopio.fi</t>
        </is>
      </c>
      <c r="E33" s="2">
        <v>430.0</v>
      </c>
      <c r="F33" t="inlineStr">
        <is>
          <t>KYLLÄ</t>
        </is>
      </c>
      <c r="G33" t="inlineStr">
        <is>
          <t>Istekki Oy, Sansia Oy, Monetra Pohjois-Savo</t>
        </is>
      </c>
    </row>
    <row r="34">
      <c r="A34" t="inlineStr">
        <is>
          <t>Lahden kaupunki</t>
        </is>
      </c>
      <c r="B34" t="inlineStr">
        <is>
          <t>Kunta</t>
        </is>
      </c>
      <c r="C34" t="inlineStr">
        <is>
          <t>0149669-3</t>
        </is>
      </c>
      <c r="D34" t="inlineStr">
        <is>
          <t>kirjaamo@lahti.fi</t>
        </is>
      </c>
      <c r="E34" s="2">
        <v>410.0</v>
      </c>
      <c r="F34" t="inlineStr">
        <is>
          <t>KYLLÄ</t>
        </is>
      </c>
      <c r="G34" t="inlineStr">
        <is>
          <t>Tiera Oy, Numera/Sarastia</t>
        </is>
      </c>
    </row>
    <row r="35">
      <c r="A35" t="inlineStr">
        <is>
          <t>Porin kaupunki</t>
        </is>
      </c>
      <c r="B35" t="inlineStr">
        <is>
          <t>Kunta</t>
        </is>
      </c>
      <c r="C35" t="inlineStr">
        <is>
          <t>0137323-9</t>
        </is>
      </c>
      <c r="D35" t="inlineStr">
        <is>
          <t>kirjaamo@pori.fi</t>
        </is>
      </c>
      <c r="E35" s="2">
        <v>310.0</v>
      </c>
      <c r="F35" t="inlineStr">
        <is>
          <t>EI (Vaadi JulkL 13 § tietopyynnöllä)</t>
        </is>
      </c>
      <c r="G35" t="inlineStr">
        <is>
          <t>Numera/Sarastia, Tiera Oy</t>
        </is>
      </c>
    </row>
    <row r="36">
      <c r="A36" t="inlineStr">
        <is>
          <t>Kouvolan kaupunki</t>
        </is>
      </c>
      <c r="B36" t="inlineStr">
        <is>
          <t>Kunta</t>
        </is>
      </c>
      <c r="C36" t="inlineStr">
        <is>
          <t>0161075-9</t>
        </is>
      </c>
      <c r="D36" t="inlineStr">
        <is>
          <t>kirjaamo@kouvola.fi</t>
        </is>
      </c>
      <c r="E36" s="2">
        <v>295.0</v>
      </c>
      <c r="F36" t="inlineStr">
        <is>
          <t>EI (Vaadi JulkL 13 § tietopyynnöllä)</t>
        </is>
      </c>
      <c r="G36" t="inlineStr">
        <is>
          <t>Meita Oy, Tiera Oy, Numera/Sarastia</t>
        </is>
      </c>
    </row>
    <row r="37">
      <c r="A37" t="inlineStr">
        <is>
          <t>Joensuun kaupunki</t>
        </is>
      </c>
      <c r="B37" t="inlineStr">
        <is>
          <t>Kunta</t>
        </is>
      </c>
      <c r="C37" t="inlineStr">
        <is>
          <t>0242746-2</t>
        </is>
      </c>
      <c r="D37" t="inlineStr">
        <is>
          <t>kirjaamo@joensuu.fi</t>
        </is>
      </c>
      <c r="E37" s="2">
        <v>270.0</v>
      </c>
      <c r="F37" t="inlineStr">
        <is>
          <t>EI (Vaadi JulkL 13 § tietopyynnöllä)</t>
        </is>
      </c>
      <c r="G37" t="inlineStr">
        <is>
          <t>Polkka Oy, Tiera Oy, Meita Oy</t>
        </is>
      </c>
    </row>
    <row r="38">
      <c r="A38" t="inlineStr">
        <is>
          <t>Lappeenrannan kaupunki</t>
        </is>
      </c>
      <c r="B38" t="inlineStr">
        <is>
          <t>Kunta</t>
        </is>
      </c>
      <c r="C38" t="inlineStr">
        <is>
          <t>0162193-3</t>
        </is>
      </c>
      <c r="D38" t="inlineStr">
        <is>
          <t>kirjaamo@lappeenranta.fi</t>
        </is>
      </c>
      <c r="E38" s="2">
        <v>265.0</v>
      </c>
      <c r="F38" t="inlineStr">
        <is>
          <t>EI (Vaadi JulkL 13 § tietopyynnöllä)</t>
        </is>
      </c>
      <c r="G38" t="inlineStr">
        <is>
          <t>Meita Oy, Tiera Oy</t>
        </is>
      </c>
    </row>
    <row r="39">
      <c r="A39" t="inlineStr">
        <is>
          <t>Hämeenlinnan kaupunki</t>
        </is>
      </c>
      <c r="B39" t="inlineStr">
        <is>
          <t>Kunta</t>
        </is>
      </c>
      <c r="C39" t="inlineStr">
        <is>
          <t>0146921-4</t>
        </is>
      </c>
      <c r="D39" t="inlineStr">
        <is>
          <t>hameenlinnan.kaupunki@hameenlinna.fi</t>
        </is>
      </c>
      <c r="E39" s="2">
        <v>245.0</v>
      </c>
      <c r="F39" t="inlineStr">
        <is>
          <t>KYLLÄ</t>
        </is>
      </c>
      <c r="G39" t="inlineStr">
        <is>
          <t>Numera/Sarastia, Tiera Oy</t>
        </is>
      </c>
    </row>
    <row r="40">
      <c r="A40" t="inlineStr">
        <is>
          <t>Vaasan kaupunki</t>
        </is>
      </c>
      <c r="B40" t="inlineStr">
        <is>
          <t>Kunta</t>
        </is>
      </c>
      <c r="C40" t="inlineStr">
        <is>
          <t>0209602-6</t>
        </is>
      </c>
      <c r="D40" t="inlineStr">
        <is>
          <t>kirjaamo@vaasa.fi</t>
        </is>
      </c>
      <c r="E40" s="2">
        <v>240.0</v>
      </c>
      <c r="F40" t="inlineStr">
        <is>
          <t>EI (Vaadi JulkL 13 § tietopyynnöllä)</t>
        </is>
      </c>
      <c r="G40" t="inlineStr">
        <is>
          <t>Tiera Oy, Numera/Sarastia</t>
        </is>
      </c>
    </row>
    <row r="41">
      <c r="A41" t="inlineStr">
        <is>
          <t>Seinäjoen kaupunki</t>
        </is>
      </c>
      <c r="B41" t="inlineStr">
        <is>
          <t>Kunta</t>
        </is>
      </c>
      <c r="C41" t="inlineStr">
        <is>
          <t>1928736-3</t>
        </is>
      </c>
      <c r="D41" t="inlineStr">
        <is>
          <t>kirjaamo@seinajoki.fi</t>
        </is>
      </c>
      <c r="E41" s="2">
        <v>225.0</v>
      </c>
      <c r="F41" t="inlineStr">
        <is>
          <t>EI (Vaadi JulkL 13 § tietopyynnöllä)</t>
        </is>
      </c>
      <c r="G41" t="inlineStr">
        <is>
          <t>Tiera Oy, Istekki Oy</t>
        </is>
      </c>
    </row>
    <row r="42">
      <c r="A42" t="inlineStr">
        <is>
          <t>Rovaniemen kaupunki</t>
        </is>
      </c>
      <c r="B42" t="inlineStr">
        <is>
          <t>Kunta</t>
        </is>
      </c>
      <c r="C42" t="inlineStr">
        <is>
          <t>1978283-1</t>
        </is>
      </c>
      <c r="D42" t="inlineStr">
        <is>
          <t>kirjaamo@rovaniemi.fi</t>
        </is>
      </c>
      <c r="E42" s="2">
        <v>215.0</v>
      </c>
      <c r="F42" t="inlineStr">
        <is>
          <t>EI (Vaadi JulkL 13 § tietopyynnöllä)</t>
        </is>
      </c>
      <c r="G42" t="inlineStr">
        <is>
          <t>Tiera Oy, Numera/Sarastia</t>
        </is>
      </c>
    </row>
    <row r="43">
      <c r="A43" t="inlineStr">
        <is>
          <t>Mikkelin kaupunki</t>
        </is>
      </c>
      <c r="B43" t="inlineStr">
        <is>
          <t>Kunta</t>
        </is>
      </c>
      <c r="C43" t="inlineStr">
        <is>
          <t>0165116-3</t>
        </is>
      </c>
      <c r="D43" t="inlineStr">
        <is>
          <t>kirjaamo@mikkeli.fi</t>
        </is>
      </c>
      <c r="E43" s="2">
        <v>195.0</v>
      </c>
      <c r="F43" t="inlineStr">
        <is>
          <t>EI (Vaadi JulkL 13 § tietopyynnöllä)</t>
        </is>
      </c>
      <c r="G43" t="inlineStr">
        <is>
          <t>Meita Oy, Tiera Oy, Istekki Oy</t>
        </is>
      </c>
    </row>
    <row r="44">
      <c r="A44" t="inlineStr">
        <is>
          <t>Kotkan kaupunki</t>
        </is>
      </c>
      <c r="B44" t="inlineStr">
        <is>
          <t>Kunta</t>
        </is>
      </c>
      <c r="C44" t="inlineStr">
        <is>
          <t>0161077-5</t>
        </is>
      </c>
      <c r="D44" t="inlineStr">
        <is>
          <t>kirjaamo@kotka.fi</t>
        </is>
      </c>
      <c r="E44" s="2">
        <v>190.0</v>
      </c>
      <c r="F44" t="inlineStr">
        <is>
          <t>EI (Vaadi JulkL 13 § tietopyynnöllä)</t>
        </is>
      </c>
      <c r="G44" t="inlineStr">
        <is>
          <t>Meita Oy, Tiera Oy</t>
        </is>
      </c>
    </row>
    <row r="45">
      <c r="A45" t="inlineStr">
        <is>
          <t>Salon kaupunki</t>
        </is>
      </c>
      <c r="B45" t="inlineStr">
        <is>
          <t>Kunta</t>
        </is>
      </c>
      <c r="C45" t="inlineStr">
        <is>
          <t>0139533-1</t>
        </is>
      </c>
      <c r="D45" t="inlineStr">
        <is>
          <t>kirjaamo@salo.fi</t>
        </is>
      </c>
      <c r="E45" s="2">
        <v>175.0</v>
      </c>
      <c r="F45" t="inlineStr">
        <is>
          <t>EI (Vaadi JulkL 13 § tietopyynnöllä)</t>
        </is>
      </c>
      <c r="G45" t="inlineStr">
        <is>
          <t>Tiera Oy, Numera/Sarastia</t>
        </is>
      </c>
    </row>
    <row r="46">
      <c r="A46" t="inlineStr">
        <is>
          <t>Porvoon kaupunki</t>
        </is>
      </c>
      <c r="B46" t="inlineStr">
        <is>
          <t>Kunta</t>
        </is>
      </c>
      <c r="C46" t="inlineStr">
        <is>
          <t>1061512-1</t>
        </is>
      </c>
      <c r="D46" t="inlineStr">
        <is>
          <t>kirjaamo@porvoo.fi</t>
        </is>
      </c>
      <c r="E46" s="2">
        <v>170.0</v>
      </c>
      <c r="F46" t="inlineStr">
        <is>
          <t>EI (Vaadi JulkL 13 § tietopyynnöllä)</t>
        </is>
      </c>
      <c r="G46" t="inlineStr">
        <is>
          <t>Tiera Oy, Numera/Sarastia</t>
        </is>
      </c>
    </row>
    <row r="47">
      <c r="A47" t="inlineStr">
        <is>
          <t>YHTEENSÄ (43 JULKISTA HANKINTAYKSIKKÖÄ)</t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s="2">
        <f>SUM(E4:E46)</f>
        <v>25505.0</v>
      </c>
      <c r="F47" t="inlineStr">
        <is>
          <t/>
        </is>
      </c>
      <c r="G47" t="inlineStr">
        <is>
          <t/>
        </is>
      </c>
    </row>
  </sheetData>
</worksheet>
</file>